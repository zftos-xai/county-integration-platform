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总览" sheetId="1" r:id="rId1"/>
    <sheet name="接口矩阵" sheetId="2" r:id="rId2"/>
    <sheet name="待确认事项" sheetId="3" r:id="rId3"/>
    <sheet name="实施计划" sheetId="4" r:id="rId4"/>
    <sheet name="数据治理清单" sheetId="5" r:id="rId5"/>
    <sheet name="健康档案上传字段" sheetId="6" r:id="rId6"/>
    <sheet name="联调准备清单" sheetId="7" r:id="rId7"/>
    <sheet name="环境参数" sheetId="8" r:id="rId8"/>
    <sheet name="责任与里程碑" sheetId="9" r:id="rId9"/>
    <sheet name="上线检查表" sheetId="10" r:id="rId10"/>
    <sheet name="变更记录" sheetId="11" r:id="rId11"/>
  </sheets>
  <definedNames>
    <definedName name="_xlnm._FilterDatabase" localSheetId="1" hidden="1">接口矩阵!$A$1:$Z$76</definedName>
    <definedName name="_xlnm._FilterDatabase" localSheetId="2" hidden="1">待确认事项!$A$1:$H$19</definedName>
    <definedName name="_xlnm._FilterDatabase" localSheetId="3" hidden="1">实施计划!$A$1:$F$6</definedName>
    <definedName name="_xlnm._FilterDatabase" localSheetId="4" hidden="1">数据治理清单!$A$1:$E$10</definedName>
    <definedName name="_xlnm._FilterDatabase" localSheetId="6" hidden="1">联调准备清单!$A$1:$I$11</definedName>
    <definedName name="_xlnm._FilterDatabase" localSheetId="7" hidden="1">环境参数!$A$1:$H$10</definedName>
    <definedName name="_xlnm._FilterDatabase" localSheetId="8" hidden="1">责任与里程碑!$A$1:$H$7</definedName>
    <definedName name="_xlnm._FilterDatabase" localSheetId="9" hidden="1">上线检查表!$A$1:$H$9</definedName>
    <definedName name="_xlnm._FilterDatabase" localSheetId="10" hidden="1">变更记录!$A$1:$F$2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<sst xmlns="http://schemas.openxmlformats.org/spreadsheetml/2006/main" count="2612" uniqueCount="842">
  <si>
    <t>县级人民医院对接基层和健康 V1.0 接口矩阵</t>
  </si>
  <si>
    <t>统计口径</t>
  </si>
  <si>
    <t>结果</t>
  </si>
  <si>
    <t>Excel 健康云接口行数</t>
  </si>
  <si>
    <t>Excel 基层 HIS 接口行数</t>
  </si>
  <si>
    <t>矩阵业务能力总数</t>
  </si>
  <si>
    <t>待关闭阻断/高风险项</t>
  </si>
  <si>
    <t>规范另含无交易码能力</t>
  </si>
  <si>
    <t>检查检验报告跨机构调阅</t>
  </si>
  <si>
    <t>通知声明口径</t>
  </si>
  <si>
    <t>15类73个：健康云21、基层HIS52；与Excel 74行不一致，需主管部门书面确认</t>
  </si>
  <si>
    <t>推荐架构</t>
  </si>
  <si>
    <t>C/S工作站不直连外部平台；统一通过院内集成平台完成协议适配、鉴权、映射、队列、审计和对账</t>
  </si>
  <si>
    <t>首要范围修正</t>
  </si>
  <si>
    <t>基础认证/目录接口调整为P0；400-003病历回写调整为P2必补；报告跨机构调阅补入范围</t>
  </si>
  <si>
    <t>生产安全基线</t>
  </si>
  <si>
    <t>专网或白名单、TLS、等保要求、最小权限、敏感日志脱敏、凭证集中保管、NTP校时</t>
  </si>
  <si>
    <t>序号</t>
  </si>
  <si>
    <t>系统</t>
  </si>
  <si>
    <t>业务分类</t>
  </si>
  <si>
    <t>接口名称</t>
  </si>
  <si>
    <t>事件码/交易码</t>
  </si>
  <si>
    <t>协议/方法</t>
  </si>
  <si>
    <t>规范地址</t>
  </si>
  <si>
    <t>原备注</t>
  </si>
  <si>
    <t>原优先级</t>
  </si>
  <si>
    <t>建议优先级</t>
  </si>
  <si>
    <t>调用方向</t>
  </si>
  <si>
    <t>数据来源</t>
  </si>
  <si>
    <t>触发方式</t>
  </si>
  <si>
    <t>前置依赖</t>
  </si>
  <si>
    <t>幂等键/去重</t>
  </si>
  <si>
    <t>重试与补偿</t>
  </si>
  <si>
    <t>建议超时</t>
  </si>
  <si>
    <t>主要风险</t>
  </si>
  <si>
    <t>验收要点</t>
  </si>
  <si>
    <t>原实现方式</t>
  </si>
  <si>
    <t>原功能改造</t>
  </si>
  <si>
    <t>来源行</t>
  </si>
  <si>
    <t>执行责任方</t>
  </si>
  <si>
    <t>当前状态</t>
  </si>
  <si>
    <t>阻断编号</t>
  </si>
  <si>
    <t>验收证据位置</t>
  </si>
  <si>
    <t>健康云</t>
  </si>
  <si>
    <t>基础信息</t>
  </si>
  <si>
    <t>登录验证</t>
  </si>
  <si>
    <t>ACB666576D94A00B</t>
  </si>
  <si>
    <t>POST</t>
  </si>
  <si>
    <t>/ehrc/login/intergration</t>
  </si>
  <si>
    <t>根据实际情况</t>
  </si>
  <si>
    <t>P0-前置</t>
  </si>
  <si>
    <t>院内集成平台 -&gt; 健康档案云平台</t>
  </si>
  <si>
    <t>云平台主数据/档案索引</t>
  </si>
  <si>
    <t>登录或业务界面按需调用；基础数据定时缓存</t>
  </si>
  <si>
    <t>授权审批、c_token、hie_app_key、账号、IP 白名单、NTP</t>
  </si>
  <si>
    <t>业务主键唯一</t>
  </si>
  <si>
    <t>失败入补偿队列，人工可重放</t>
  </si>
  <si>
    <t>连接3秒，读取20秒</t>
  </si>
  <si>
    <t>成功码0/200、accessToken大小写及总览/明细路径不一致</t>
  </si>
  <si>
    <t>正确/错误/过期凭证、越权、重复登录和审计日志通过</t>
  </si>
  <si>
    <t/>
  </si>
  <si>
    <t>集成平台厂商</t>
  </si>
  <si>
    <t>未开始</t>
  </si>
  <si>
    <t>D01、D02、D03</t>
  </si>
  <si>
    <t>待填写</t>
  </si>
  <si>
    <t>查询区划列表（包含组）</t>
  </si>
  <si>
    <t>ACB666576D54A002</t>
  </si>
  <si>
    <t>GET</t>
  </si>
  <si>
    <t>/ehr/v1.0/sys</t>
  </si>
  <si>
    <t>登录 token；区划/用户/字典映射；签名参数</t>
  </si>
  <si>
    <t>只读；requestId 追踪</t>
  </si>
  <si>
    <t>网络/5xx 最多重试2次，指数退避；4xx不重试</t>
  </si>
  <si>
    <t>连接3秒，读取15秒；大报文60秒</t>
  </si>
  <si>
    <t>必填/空结果/分页/权限/超时通过；关键字段与HIS抽样一致</t>
  </si>
  <si>
    <t>查询本机构用户列表</t>
  </si>
  <si>
    <t>ACB666576D94A00D</t>
  </si>
  <si>
    <t>健康档案管理</t>
  </si>
  <si>
    <t>查询家庭档案摘要信息</t>
  </si>
  <si>
    <t>ACB666576D54A003</t>
  </si>
  <si>
    <t>/ehr/v1.0/jkda</t>
  </si>
  <si>
    <t>可做</t>
  </si>
  <si>
    <t>P3</t>
  </si>
  <si>
    <t>HIS系统调用中间接口</t>
  </si>
  <si>
    <t>中间接口 + 工作站改造</t>
  </si>
  <si>
    <t>查询健康档案摘要信息</t>
  </si>
  <si>
    <t>ACC588D4A914A000</t>
  </si>
  <si>
    <t>上传健康档案</t>
  </si>
  <si>
    <t>ACB666576D94A008</t>
  </si>
  <si>
    <t>P1</t>
  </si>
  <si>
    <t>HIS 业务表/只读视图</t>
  </si>
  <si>
    <t>业务完成并审核后写入出站箱异步上传</t>
  </si>
  <si>
    <t>机构+源主键+业务类型唯一</t>
  </si>
  <si>
    <t>出站箱重试3次；重复先查映射表</t>
  </si>
  <si>
    <t>成功码0/200、accessToken大小写及总览/明细路径不一致；必填字段多、位运算字典和日期格式易错</t>
  </si>
  <si>
    <t>正常、重复、超时未知、失败重放、回执落库和对账均通过</t>
  </si>
  <si>
    <t>HIS提供视图 + 中间接口上传</t>
  </si>
  <si>
    <t>中间接口 + 数据库（视图）+ 前台界面</t>
  </si>
  <si>
    <t>修改健康档案</t>
  </si>
  <si>
    <t>ACC5893E4754A000</t>
  </si>
  <si>
    <t>PUT</t>
  </si>
  <si>
    <t>HIS 业务表/平台 openId 映射表</t>
  </si>
  <si>
    <t>源数据变更后异步修改</t>
  </si>
  <si>
    <t>登录 token；上传返回 id/sjlyId；区划/用户/字典映射</t>
  </si>
  <si>
    <t>平台 id+sjlyId+源版本号</t>
  </si>
  <si>
    <t>出站箱串行重试3次；冲突转人工</t>
  </si>
  <si>
    <t>成功码0/200、accessToken大小写及总览/明细路径不一致；缺失上传回执将无法修改；必填字段多、位运算字典和日期格式易错</t>
  </si>
  <si>
    <t>上传个人健康教育</t>
  </si>
  <si>
    <t>ACB666576D94A00C</t>
  </si>
  <si>
    <t>不做</t>
  </si>
  <si>
    <t>范围外/待决策</t>
  </si>
  <si>
    <t>老年人健康管理</t>
  </si>
  <si>
    <t>上传健康体检</t>
  </si>
  <si>
    <t>ACB666576D94A000</t>
  </si>
  <si>
    <t>/ehr/v1.0/lnrgl</t>
  </si>
  <si>
    <t>修改健康体检</t>
  </si>
  <si>
    <t>ACC5899BEE54A000</t>
  </si>
  <si>
    <t>上传老年人中医保健</t>
  </si>
  <si>
    <t>ACB666576D94A00F</t>
  </si>
  <si>
    <t>可做-何老师系统做改造</t>
  </si>
  <si>
    <t>P4-暂缓</t>
  </si>
  <si>
    <t>修改老年人中医保健</t>
  </si>
  <si>
    <t>ACC589F23994A000</t>
  </si>
  <si>
    <t>高血压管理</t>
  </si>
  <si>
    <t>上传高血压随访</t>
  </si>
  <si>
    <t>ACB666576D54A000</t>
  </si>
  <si>
    <t>/ehr/v1.0/gxy</t>
  </si>
  <si>
    <t>修改高血压随访</t>
  </si>
  <si>
    <t>ACC58A5C3854A000</t>
  </si>
  <si>
    <t>2 型糖尿病管理</t>
  </si>
  <si>
    <t>上传糖尿病随访</t>
  </si>
  <si>
    <t>ACB666576D94A002</t>
  </si>
  <si>
    <t>/ehr/v1.0/tnb</t>
  </si>
  <si>
    <t>修改糖尿病随访</t>
  </si>
  <si>
    <t>ACC58AAE0294A000</t>
  </si>
  <si>
    <t>家庭医生签约</t>
  </si>
  <si>
    <t>查询本机构用户所在家医签约团队列表</t>
  </si>
  <si>
    <t>ACB666576D94A005</t>
  </si>
  <si>
    <t>/ehr/v1.0/jtys</t>
  </si>
  <si>
    <t>待确认</t>
  </si>
  <si>
    <t>查询本机构家医签约团队签约服务包列表</t>
  </si>
  <si>
    <t>ACB666576D94A007</t>
  </si>
  <si>
    <t>查询本机构家医签约团队成员列表</t>
  </si>
  <si>
    <t>ACB666576D94A004</t>
  </si>
  <si>
    <t>上传家医签约信息</t>
  </si>
  <si>
    <t>ACB666576D54A004</t>
  </si>
  <si>
    <t>修改家医签约信息</t>
  </si>
  <si>
    <t>ACC58C116914A000</t>
  </si>
  <si>
    <t>基卫</t>
  </si>
  <si>
    <t>基础数据类</t>
  </si>
  <si>
    <t>接口测试</t>
  </si>
  <si>
    <t>100-001</t>
  </si>
  <si>
    <t>POST（SOAP）</t>
  </si>
  <si>
    <t>/WebService.asmx?op=PHIS_Interface</t>
  </si>
  <si>
    <t>第三方系统/省统建应用 -&gt; 院内集成平台 -&gt; HIS</t>
  </si>
  <si>
    <t>HIS 主数据与用户权限</t>
  </si>
  <si>
    <t>初始化全量同步，后续按日增量；登录按需</t>
  </si>
  <si>
    <t>厂商编号、网络和 WebService 地址</t>
  </si>
  <si>
    <t>HTTP/HTTPS、PHIS_Interface/HIS_Interface、Result/Msg 类型不一致</t>
  </si>
  <si>
    <t>HIS厂商</t>
  </si>
  <si>
    <t>D05、D06</t>
  </si>
  <si>
    <t>100-002</t>
  </si>
  <si>
    <t>厂商编号、HIS 用户、验证码发放规则</t>
  </si>
  <si>
    <t>医院综合目录查询(科室、医生、病区、床位)</t>
  </si>
  <si>
    <t>100-003</t>
  </si>
  <si>
    <t>100-002 验证码；机构/人员权限</t>
  </si>
  <si>
    <t>三大目录（药品、诊疗、耗材）</t>
  </si>
  <si>
    <t>100-004</t>
  </si>
  <si>
    <t>三大目录（药品、诊疗、耗材）行数</t>
  </si>
  <si>
    <t>100-005</t>
  </si>
  <si>
    <t>诊断</t>
  </si>
  <si>
    <t>100-006</t>
  </si>
  <si>
    <t>诊断行数</t>
  </si>
  <si>
    <t>100-007</t>
  </si>
  <si>
    <t>机构查询</t>
  </si>
  <si>
    <t>100-008</t>
  </si>
  <si>
    <t>单点登录</t>
  </si>
  <si>
    <t>100-009</t>
  </si>
  <si>
    <t>HIS 打开第三方页面；第三方回调院内接口验 token</t>
  </si>
  <si>
    <t>HTTP/HTTPS、PHIS_Interface/HIS_Interface、Result/Msg 类型不一致；指引误写9000，参数表又误写3102</t>
  </si>
  <si>
    <t>D05、D06、D10</t>
  </si>
  <si>
    <t>便民惠民 （移动端挂缴查）</t>
  </si>
  <si>
    <t>获取挂号费用类型</t>
  </si>
  <si>
    <t>200-001</t>
  </si>
  <si>
    <t>HIS 挂号、收费和账单</t>
  </si>
  <si>
    <t>移动端实时调用；账单按日对账</t>
  </si>
  <si>
    <t>100-002/003/008；虚拟收费员；收款账户；支付回调</t>
  </si>
  <si>
    <t>获取机构收款账户</t>
  </si>
  <si>
    <t>200-002</t>
  </si>
  <si>
    <t>查询机构挂号模板</t>
  </si>
  <si>
    <t>200-003</t>
  </si>
  <si>
    <t>查询挂号模板下的科室</t>
  </si>
  <si>
    <t>200-004</t>
  </si>
  <si>
    <t>查询科室下的医生</t>
  </si>
  <si>
    <t>200-005</t>
  </si>
  <si>
    <t>获取机构、人员的排班信息</t>
  </si>
  <si>
    <t>200-006</t>
  </si>
  <si>
    <t>预约挂号</t>
  </si>
  <si>
    <t>200-007</t>
  </si>
  <si>
    <t>厂商唯一标识+业务单号；先查交易状态再补偿</t>
  </si>
  <si>
    <t>禁止盲重试；未知结果先查200-009/012/015</t>
  </si>
  <si>
    <t>连接3秒，业务30秒</t>
  </si>
  <si>
    <t>撤销挂号</t>
  </si>
  <si>
    <t>200-008</t>
  </si>
  <si>
    <t>查询挂号记录</t>
  </si>
  <si>
    <t>200-009</t>
  </si>
  <si>
    <t>门诊待缴费清单查询</t>
  </si>
  <si>
    <t>200-010</t>
  </si>
  <si>
    <t>门诊缴费</t>
  </si>
  <si>
    <t>200-011</t>
  </si>
  <si>
    <t>已缴费列表查询</t>
  </si>
  <si>
    <t>200-012</t>
  </si>
  <si>
    <t>查询缴费清单明细</t>
  </si>
  <si>
    <t>200-013</t>
  </si>
  <si>
    <t>保存门诊退费</t>
  </si>
  <si>
    <t>200-014</t>
  </si>
  <si>
    <t>交易账单数据查询</t>
  </si>
  <si>
    <t>200-015</t>
  </si>
  <si>
    <t>双向转诊</t>
  </si>
  <si>
    <t>获取住院患者个案信息</t>
  </si>
  <si>
    <t>300-001</t>
  </si>
  <si>
    <t>HIS 门诊/住院就诊数据</t>
  </si>
  <si>
    <t>转诊或会诊业务按需查询/回写</t>
  </si>
  <si>
    <t>100-002/008；患者主索引；FHIR 数据集（300-003）</t>
  </si>
  <si>
    <t>HIS系统调用中间接口 + HIS提供视图数据</t>
  </si>
  <si>
    <t>获取门诊患者个案信息</t>
  </si>
  <si>
    <t>300-002</t>
  </si>
  <si>
    <t>接收上级转诊</t>
  </si>
  <si>
    <t>300-003</t>
  </si>
  <si>
    <t>HTTP/HTTPS、PHIS_Interface/HIS_Interface、Result/Msg 类型不一致；Result 成功值与公共规范相反</t>
  </si>
  <si>
    <t>D05、D06、D09</t>
  </si>
  <si>
    <t>电子病历</t>
  </si>
  <si>
    <t>400-001</t>
  </si>
  <si>
    <t>P2</t>
  </si>
  <si>
    <t>HIS 打开 EMR；EMR -&gt; 院内集成平台 -&gt; HIS</t>
  </si>
  <si>
    <t>HIS/EMR 病历、诊断、护理数据</t>
  </si>
  <si>
    <t>打开病历按需查询；保存/签名后回写</t>
  </si>
  <si>
    <t>100-009 单点登录；业务ID；医生/科室映射</t>
  </si>
  <si>
    <t>HIS/EMR厂商</t>
  </si>
  <si>
    <t>获取住院诊断</t>
  </si>
  <si>
    <t>400-002</t>
  </si>
  <si>
    <t>回写电子病历</t>
  </si>
  <si>
    <t>400-003</t>
  </si>
  <si>
    <t>P2-必补</t>
  </si>
  <si>
    <t>申请单/业务ID+报告类型+版本唯一</t>
  </si>
  <si>
    <t>先查本地接收记录；最多重试3次</t>
  </si>
  <si>
    <t>HTTP/HTTPS、PHIS_Interface/HIS_Interface、Result/Msg 类型不一致；Excel 标记不做，但规范明确要求病历回写</t>
  </si>
  <si>
    <t>D05、D06、D12</t>
  </si>
  <si>
    <t>获取 his 电子病历历史数据</t>
  </si>
  <si>
    <t>400-004</t>
  </si>
  <si>
    <t>获取电子病历医生数据</t>
  </si>
  <si>
    <t>400-005</t>
  </si>
  <si>
    <t>电子病历验证登录</t>
  </si>
  <si>
    <t>400-006</t>
  </si>
  <si>
    <t>获取新生儿数据</t>
  </si>
  <si>
    <t>400-007</t>
  </si>
  <si>
    <t>获取体温信息</t>
  </si>
  <si>
    <t>400-008</t>
  </si>
  <si>
    <t>获取护理信息</t>
  </si>
  <si>
    <t>400-009</t>
  </si>
  <si>
    <t>获取手术信息</t>
  </si>
  <si>
    <t>400-010</t>
  </si>
  <si>
    <t>PACS 系统</t>
  </si>
  <si>
    <t>检查项目查询</t>
  </si>
  <si>
    <t>500-001</t>
  </si>
  <si>
    <t>HIS 申请单与报告表</t>
  </si>
  <si>
    <t>医技站扫码拉取；报告审核后回写</t>
  </si>
  <si>
    <t>100-002/008；申请单唯一号；FHIR 报告规范；项目映射</t>
  </si>
  <si>
    <t>HIS系统调用中间接口 + HIS前后台过程处理</t>
  </si>
  <si>
    <t>中间接口 + 前台改造</t>
  </si>
  <si>
    <t>按申请单号获取申请单</t>
  </si>
  <si>
    <t>500-002</t>
  </si>
  <si>
    <t>回写报告</t>
  </si>
  <si>
    <t>500-003</t>
  </si>
  <si>
    <t>HTTP/HTTPS、PHIS_Interface/HIS_Interface、Result/Msg 类型不一致；详细定义交易编号误写500-004</t>
  </si>
  <si>
    <t>中间接口 + 前台改造 + 数据库</t>
  </si>
  <si>
    <t>D05、D06、D07</t>
  </si>
  <si>
    <t>LIS 系统</t>
  </si>
  <si>
    <t>检验项目查询</t>
  </si>
  <si>
    <t>600-001</t>
  </si>
  <si>
    <t>600-002</t>
  </si>
  <si>
    <t>600-003</t>
  </si>
  <si>
    <t>心电系统</t>
  </si>
  <si>
    <t>心电检查项目查询</t>
  </si>
  <si>
    <t>700-001</t>
  </si>
  <si>
    <t>700-002</t>
  </si>
  <si>
    <t>回写检查报告</t>
  </si>
  <si>
    <t>700-003</t>
  </si>
  <si>
    <t>HTTP/HTTPS、PHIS_Interface/HIS_Interface、Result/Msg 类型不一致；详细定义交易编号误写700-004</t>
  </si>
  <si>
    <t>D05、D06、D08</t>
  </si>
  <si>
    <t>分诊叫号</t>
  </si>
  <si>
    <t>获取挂号列表</t>
  </si>
  <si>
    <t>800-001</t>
  </si>
  <si>
    <t>HIS 挂号、药房、医技队列</t>
  </si>
  <si>
    <t>2-5 秒轮询；签到事件实时回写</t>
  </si>
  <si>
    <t>100-002/003；机构、科室和业务ID映射</t>
  </si>
  <si>
    <t>获取门诊待发药患者列表</t>
  </si>
  <si>
    <t>800-002</t>
  </si>
  <si>
    <t>获取待执行检查检验列表</t>
  </si>
  <si>
    <t>800-003</t>
  </si>
  <si>
    <t>接收患者签到状态回写</t>
  </si>
  <si>
    <t>800-004</t>
  </si>
  <si>
    <t>远程会诊</t>
  </si>
  <si>
    <t>远程会诊回写</t>
  </si>
  <si>
    <t>900-001</t>
  </si>
  <si>
    <t>远程会诊系统与 HIS</t>
  </si>
  <si>
    <t>会诊报告审核后回写</t>
  </si>
  <si>
    <t>300-001/002；会诊编码唯一约束</t>
  </si>
  <si>
    <t>HTTP/HTTPS、PHIS_Interface/HIS_Interface、Result/Msg 类型不一致；参数表误写交易编号1002</t>
  </si>
  <si>
    <t>D05、D06、D11</t>
  </si>
  <si>
    <t>报告跨机构调阅</t>
  </si>
  <si>
    <t>无独立交易码</t>
  </si>
  <si>
    <t>页面/API</t>
  </si>
  <si>
    <t>由互认平台提供</t>
  </si>
  <si>
    <t>Excel缺项，需纳入范围确认</t>
  </si>
  <si>
    <t>HIS -&gt; 互认平台查询/报告页面</t>
  </si>
  <si>
    <t>互认平台</t>
  </si>
  <si>
    <t>诊间按患者身份按需查询</t>
  </si>
  <si>
    <t>互认平台地址、访问授权、患者身份匹配</t>
  </si>
  <si>
    <t>无独立交易码；接口地址、鉴权、返回字段和页面会话安全定义不足</t>
  </si>
  <si>
    <t>HIS工作站增加有/无报告提示与调阅入口</t>
  </si>
  <si>
    <t>规范新增</t>
  </si>
  <si>
    <t>D05、D06、D13</t>
  </si>
  <si>
    <t>编号</t>
  </si>
  <si>
    <t>级别</t>
  </si>
  <si>
    <t>规范位置</t>
  </si>
  <si>
    <t>问题</t>
  </si>
  <si>
    <t>建议联调口径/处理</t>
  </si>
  <si>
    <t>责任方</t>
  </si>
  <si>
    <t>证据/结论</t>
  </si>
  <si>
    <t>D01</t>
  </si>
  <si>
    <t>阻断</t>
  </si>
  <si>
    <t>健康云5.3、各接口示例</t>
  </si>
  <si>
    <t>成功码说明为200，接口示例普遍为0</t>
  </si>
  <si>
    <t>联调确认；适配器临时将0/200配置为成功集合，业务回执仍须校验</t>
  </si>
  <si>
    <t>平台主管部门/医院信息科</t>
  </si>
  <si>
    <t>D02</t>
  </si>
  <si>
    <t>健康云5.2.1、7.1.1</t>
  </si>
  <si>
    <t>请求头写accesstoken，正文又写accessToken</t>
  </si>
  <si>
    <t>HTTP头按不区分大小写发送；网关统一规范名并回归测试</t>
  </si>
  <si>
    <t>D03</t>
  </si>
  <si>
    <t>高</t>
  </si>
  <si>
    <t>健康云6.3、7章</t>
  </si>
  <si>
    <t>总览聚合地址与详细接口实际地址不一致</t>
  </si>
  <si>
    <t>以联调环境实际路由为准，禁止硬编码总览短路径</t>
  </si>
  <si>
    <t>D04</t>
  </si>
  <si>
    <t>健康云5.1、7章</t>
  </si>
  <si>
    <t>规范要求HTTPS，测试地址为HTTP</t>
  </si>
  <si>
    <t>测试网隔离；生产必须专网+TLS并校验证书</t>
  </si>
  <si>
    <t>D05</t>
  </si>
  <si>
    <t>基层HIS4.1/4.2/4.5</t>
  </si>
  <si>
    <t>HTTPS要求与HTTP地址冲突；PHIS_Interface与HIS_Interface冲突</t>
  </si>
  <si>
    <t>由平台主管部门提供WSDL、生产URL、SOAPAction和函数名基线</t>
  </si>
  <si>
    <t>D06</t>
  </si>
  <si>
    <t>基层HIS4.4及各示例</t>
  </si>
  <si>
    <t>Result/result、Msg/msg及数字/字符串类型混用，Msg又可能是对象、数组或JSON字符串</t>
  </si>
  <si>
    <t>容错解析后归一为统一响应模型；保留原始报文</t>
  </si>
  <si>
    <t>D07</t>
  </si>
  <si>
    <t>基层HIS 6.5.4</t>
  </si>
  <si>
    <t>接口名500-003，详细交易编号写500-004</t>
  </si>
  <si>
    <t>联调书面确认后配置，不在代码中猜测</t>
  </si>
  <si>
    <t>D08</t>
  </si>
  <si>
    <t>基层HIS 6.7.4</t>
  </si>
  <si>
    <t>接口名700-003，详细交易编号写700-004</t>
  </si>
  <si>
    <t>联调书面确认后配置</t>
  </si>
  <si>
    <t>D09</t>
  </si>
  <si>
    <t>基层HIS 6.3.3</t>
  </si>
  <si>
    <t>300-003参数表写Result 0成功/1失败，与公共规范和示例相反</t>
  </si>
  <si>
    <t>以业务回执内容+确认后的成功值判断</t>
  </si>
  <si>
    <t>D10</t>
  </si>
  <si>
    <t>基层HIS 6.1.9</t>
  </si>
  <si>
    <t>100-009指引误写9000，参数表又写3102</t>
  </si>
  <si>
    <t>固定使用经WSDL联调验证的100-009</t>
  </si>
  <si>
    <t>D11</t>
  </si>
  <si>
    <t>基层HIS 6.9.3</t>
  </si>
  <si>
    <t>900-001参数表误写1002</t>
  </si>
  <si>
    <t>按总览和标题使用900-001，需书面确认</t>
  </si>
  <si>
    <t>D12</t>
  </si>
  <si>
    <t>基层HIS 6.4.0/6.4.3</t>
  </si>
  <si>
    <t>规范提醒病历必须回写，Excel却把400-003标记不做</t>
  </si>
  <si>
    <t>纳入P2必做，否则电子病历流程不闭环</t>
  </si>
  <si>
    <t>D13</t>
  </si>
  <si>
    <t>通知与Excel</t>
  </si>
  <si>
    <t>通知称73个；Excel实际74行；远程会诊复用两个交易码；跨机构调阅无交易码</t>
  </si>
  <si>
    <t>分别按接口行、唯一交易码、业务能力验收并取得范围确认</t>
  </si>
  <si>
    <t>D14</t>
  </si>
  <si>
    <t>两套规范</t>
  </si>
  <si>
    <t>未统一规定幂等、超时、重试、熔断、重放和对账</t>
  </si>
  <si>
    <t>按本方案在院内集成平台补齐，不让C/S客户端承担可靠性</t>
  </si>
  <si>
    <t>D15</t>
  </si>
  <si>
    <t>基层HIS鉴权</t>
  </si>
  <si>
    <t>主要依赖静态验证码，未见签名、时间戳、防重放和限流定义</t>
  </si>
  <si>
    <t>专网/IP白名单+TLS+网关限流；验证码加密保存并轮换</t>
  </si>
  <si>
    <t>D16</t>
  </si>
  <si>
    <t>中</t>
  </si>
  <si>
    <t>健康云上传/修改</t>
  </si>
  <si>
    <t>修改依赖上传返回id、sjlyId，但未规定丢失回执后的恢复查询</t>
  </si>
  <si>
    <t>本地回执映射事务落库；未知结果转人工，联调确认补查机制</t>
  </si>
  <si>
    <t>D17</t>
  </si>
  <si>
    <t>基层HIS 6.4.4</t>
  </si>
  <si>
    <t>历史病历Content称XML字符串7zip压缩，但未说明传输编码/解压上限</t>
  </si>
  <si>
    <t>确认Base64与7z参数；设置解压大小、层级和超时限制</t>
  </si>
  <si>
    <t>D18</t>
  </si>
  <si>
    <t>全规范</t>
  </si>
  <si>
    <t>日期格式混用ISO、yyyy-MM-dd HH:mm:ss、/Date(ms)/</t>
  </si>
  <si>
    <t>适配层统一内部Instant/LocalDate模型，按接口配置序列化</t>
  </si>
  <si>
    <t>阶段</t>
  </si>
  <si>
    <t>目标</t>
  </si>
  <si>
    <t>范围</t>
  </si>
  <si>
    <t>关键交付</t>
  </si>
  <si>
    <t>准入条件</t>
  </si>
  <si>
    <t>退出条件</t>
  </si>
  <si>
    <t>P0</t>
  </si>
  <si>
    <t>打通底座</t>
  </si>
  <si>
    <t>网络、授权、TLS、NTP、日志；云平台登录/区划/用户；基层100-*</t>
  </si>
  <si>
    <t>网关、适配器、凭证库、字典/主索引、联调基线</t>
  </si>
  <si>
    <t>接入审批完成</t>
  </si>
  <si>
    <t>连续运行7天，认证和目录同步成功率&gt;=99.9%</t>
  </si>
  <si>
    <t>优先业务闭环</t>
  </si>
  <si>
    <t>健康档案上传/修改、健康体检上传/修改；PACS/LIS/心电</t>
  </si>
  <si>
    <t>视图、出站箱、申请单拉取、FHIR报告回写、对账台账</t>
  </si>
  <si>
    <t>P0通过</t>
  </si>
  <si>
    <t>重复/超时/重放测试通过，业务抽样一致率100%</t>
  </si>
  <si>
    <t>电子病历闭环</t>
  </si>
  <si>
    <t>400-001~010，必须含400-003</t>
  </si>
  <si>
    <t>SSO、病历查询与回写、护理/体温/手术数据</t>
  </si>
  <si>
    <t>EMR厂商接口就绪</t>
  </si>
  <si>
    <t>病历保存、回写、历史调阅和权限审计通过</t>
  </si>
  <si>
    <t>协同业务</t>
  </si>
  <si>
    <t>档案摘要查询、双向转诊</t>
  </si>
  <si>
    <t>工作站入口、患者匹配、FHIR转诊回执</t>
  </si>
  <si>
    <t>主索引与机构映射稳定</t>
  </si>
  <si>
    <t>转诊全链路及异常补偿通过</t>
  </si>
  <si>
    <t>P4</t>
  </si>
  <si>
    <t>按政策启用</t>
  </si>
  <si>
    <t>中医保健、高血压、糖尿病、家医签约、便民、叫号、远程、跨机构调阅</t>
  </si>
  <si>
    <t>按主管部门确认的范围实施</t>
  </si>
  <si>
    <t>业务部门确认责任边界</t>
  </si>
  <si>
    <t>分域验收</t>
  </si>
  <si>
    <t>主题</t>
  </si>
  <si>
    <t>主键/映射</t>
  </si>
  <si>
    <t>治理要求</t>
  </si>
  <si>
    <t>验收</t>
  </si>
  <si>
    <t>患者主索引</t>
  </si>
  <si>
    <t>身份证/其他证件+机构患者ID+健康档案ID</t>
  </si>
  <si>
    <t>证件校验、重复合并需人工审批；临时证件按规范生成</t>
  </si>
  <si>
    <t>医院信息科+业务科室</t>
  </si>
  <si>
    <t>重复率、错配率为0</t>
  </si>
  <si>
    <t>机构</t>
  </si>
  <si>
    <t>HIS机构ID、统一社会信用/组织机构代码、平台orgId</t>
  </si>
  <si>
    <t>一对一映射并保留生效时间</t>
  </si>
  <si>
    <t>信息科</t>
  </si>
  <si>
    <t>接口抽样100%一致</t>
  </si>
  <si>
    <t>人员</t>
  </si>
  <si>
    <t>HIS职员ID、账号、平台userId/医生ID</t>
  </si>
  <si>
    <t>离职停用、科室与执业证书同步</t>
  </si>
  <si>
    <t>人事+信息科</t>
  </si>
  <si>
    <t>权限与在岗状态一致</t>
  </si>
  <si>
    <t>科室/病区/床位</t>
  </si>
  <si>
    <t>本地ID与平台ID</t>
  </si>
  <si>
    <t>禁用不删除，维护历史版本</t>
  </si>
  <si>
    <t>在用目录完整</t>
  </si>
  <si>
    <t>ICD-10/中医诊断版本</t>
  </si>
  <si>
    <t>明确病案版与医保国临版，禁止只按名称匹配</t>
  </si>
  <si>
    <t>医务+病案</t>
  </si>
  <si>
    <t>编码映射抽样100%</t>
  </si>
  <si>
    <t>药品/诊疗/耗材</t>
  </si>
  <si>
    <t>本地编码、国家医保编码</t>
  </si>
  <si>
    <t>全量初始化+时间窗增量；记录版本</t>
  </si>
  <si>
    <t>药学/医保/信息科</t>
  </si>
  <si>
    <t>数量与行数接口一致</t>
  </si>
  <si>
    <t>公共卫生字典</t>
  </si>
  <si>
    <t>性别、民族、婚姻、职业、支付、过敏、疾病等</t>
  </si>
  <si>
    <t>位运算字段独立校验；未知值进入隔离队列</t>
  </si>
  <si>
    <t>公卫科+信息科</t>
  </si>
  <si>
    <t>必填通过率&gt;=99.5%</t>
  </si>
  <si>
    <t>平台回执</t>
  </si>
  <si>
    <t>源系统+源主键 -&gt; id/sjlyId/jtId</t>
  </si>
  <si>
    <t>与业务状态同事务落库；不可手工覆盖</t>
  </si>
  <si>
    <t>集成平台</t>
  </si>
  <si>
    <t>所有修改均可追溯上传回执</t>
  </si>
  <si>
    <t>申请单/报告</t>
  </si>
  <si>
    <t>申请单ID+业务ID+报告类型+版本</t>
  </si>
  <si>
    <t>防重复回写，报告审核后发布，撤销留痕</t>
  </si>
  <si>
    <t>医技科室+信息科</t>
  </si>
  <si>
    <t>回写与HIS展示一致</t>
  </si>
  <si>
    <t>来源：原Excel Sheet2；上传健康档案字段清单。正式开发前应与当前线上Swagger/联调样例再次核对。</t>
  </si>
  <si>
    <t>层级</t>
  </si>
  <si>
    <t>字段名</t>
  </si>
  <si>
    <t>字段说明</t>
  </si>
  <si>
    <t>必填</t>
  </si>
  <si>
    <t>数据类型</t>
  </si>
  <si>
    <t>xm</t>
  </si>
  <si>
    <t>姓名</t>
  </si>
  <si>
    <t>string</t>
  </si>
  <si>
    <t>xb</t>
  </si>
  <si>
    <t>性 别 : 可 用 值 :,[1: 男 ],[2:女],[0: 未知的性别],[9: 未说明的性别]</t>
  </si>
  <si>
    <t>zjlx</t>
  </si>
  <si>
    <t>证件类型, 可用值:,[10: 身份证],[30: 军官证],[44: 港澳同胞回乡证（通行卡）],[43:台湾居民来往大陆通行证],[50:护照],[60:其他]</t>
  </si>
  <si>
    <t>zjhm</t>
  </si>
  <si>
    <t>证件号码- 没有证件号码时把zjlx 设置为 60（其他）,zjhm 设置为 LS+村编码(12 位)+年月日(出生日期，8 位 yyyyMMdd)+2 位随机数</t>
  </si>
  <si>
    <t>csrq</t>
  </si>
  <si>
    <t>出生日期</t>
  </si>
  <si>
    <t>string(date-time)</t>
  </si>
  <si>
    <t>mz</t>
  </si>
  <si>
    <t>民族,可用值:,[01:汉族],[02:蒙 古 族 ],[03: 回 族 ],[04: 藏族 ],[05: 维 吾 尔 族 ],[06: 苗族 ],[07: 彝  族 ],[08:  壮族 ],[09: 布 依 族 ],[10: 朝 鲜族 ],[11: 满  族 ],[12:  侗族 ],[13: 瑶  族 ],[14:  白族 ],[15: 土 家 族 ],[16: 哈 尼族 ],[17: 哈 萨 克 族 ],[18: 傣族 ],[19: 黎 族 ],[20: 傈 僳族 ],[21: 佤  族 ],[22:  畲族 ],[23: 高 山 族 ],[24: 拉 祜族 ],[25: 水 族 ],[26: 东 乡族 ],[27: 纳 西 族 ],[28: 景 颇族],[29: 柯尔克孜族],[30: 土族],[31: 达斡尔族],[32: 仫佬族 ],[33: 羌 族 ],[34: 布 朗族 ],[35: 撒 拉 族 ],[36: 毛 南族 ],[37: 仡 佬 族 ],[38: 锡 伯族],[39: 阿昌族],[41: 塔吉克族 ],[40: 普 米 族 ],[42: 怒族],[43: 乌孜别克族],[44: 俄罗斯族],[45: 鄂温克族],[46:德昴族],[47: 保安族],[48: 裕固族],[49: 京族],[50: 塔塔尔族],[51: 独龙族],[52: 鄂伦春族 ],[53: 赫 哲 族 ],[54: 门 巴族 ],[55: 珞 巴 族 ],[56: 基 诺族],[57:外籍]</t>
  </si>
  <si>
    <t>zdybh</t>
  </si>
  <si>
    <t>自定义编号</t>
  </si>
  <si>
    <t>brdh</t>
  </si>
  <si>
    <t>本人电话</t>
  </si>
  <si>
    <t>lxrxm</t>
  </si>
  <si>
    <t>联系人姓名</t>
  </si>
  <si>
    <t>lxrdh</t>
  </si>
  <si>
    <t>联系人电话</t>
  </si>
  <si>
    <t>xxbm</t>
  </si>
  <si>
    <t>血型, 可用值:,[1:A 型],[2:B型],[3:O 型],[4:AB 型],[5:不详]</t>
  </si>
  <si>
    <t>whcd</t>
  </si>
  <si>
    <t>文化程度, 可用值:,[10: 研究生],[20: 大学本科],[30: 大学专科和专科学校],[40:中等专业学校],[50: 技工学校],[60:高 中 ],[70: 初 中 ],[80: 小学],[90:文盲或半文盲],[0:不详]</t>
  </si>
  <si>
    <t>zy</t>
  </si>
  <si>
    <t>职业,可用值:,[0:党的机关、国家机关、群众团体和社会组织、企事业单位负责人],[1:专业技术人员],[2:办事人员和有关人员],[3:商业、服务业人员],[4: 农、林、牧、渔业生产及辅助人员],[5:生产、运输设备操作人员及有关人员],[6: 军人],[7: 不便分类的其他从业人员],[8:无职业]</t>
  </si>
  <si>
    <t>hy</t>
  </si>
  <si>
    <t>婚姻,可用值:,[10:未婚],[20:已 婚 ],[21: 初 婚 ],[22: 再婚 ],[23: 复 婚 ],[30: 丧偶],[40: 离婚],[90: 未说明的婚姻状况]</t>
  </si>
  <si>
    <t>rhyxbm</t>
  </si>
  <si>
    <t>rh 阴性编码, 可用值:,[1: 阴性],[2:阳性],[3:不详]</t>
  </si>
  <si>
    <t>ylfyzffs</t>
  </si>
  <si>
    <t>医疗费用支付方式#位运算,可用值:[0:未设置],[1:城镇职工基本医疗保险],[2:城镇居民基本医疗保险],[4:新型农村合作医疗],[8:贫困救助],[16:商业医疗保险],[32: 全公费],[64:全自费],[128: 其他],[256: 城乡居民基本医疗保险]</t>
  </si>
  <si>
    <t>ylfyzffsqt</t>
  </si>
  <si>
    <t>医疗费用支付方式其他</t>
  </si>
  <si>
    <t>ywgms</t>
  </si>
  <si>
    <t>药 物 过 敏 史 # 位 运 算 , 可 用值:[0: 未设置],[1: 无],[2: 青霉 素 ],[4: 磺 胺 ],[8: 链 霉素],[16: 其他],[32: 其他药物过敏],[64:食物过敏]</t>
  </si>
  <si>
    <t>ywgmsqt</t>
  </si>
  <si>
    <t>药物过敏史其它</t>
  </si>
  <si>
    <t>ywgmsqtyw</t>
  </si>
  <si>
    <t>药物过敏其他药物过敏</t>
  </si>
  <si>
    <t>ywgmssw</t>
  </si>
  <si>
    <t>药物过敏食物过敏</t>
  </si>
  <si>
    <t>bls</t>
  </si>
  <si>
    <t>暴露史#位运算,可用值:[0:未设置],[1:无],[2:化学品],[4:毒物],[8:射线]</t>
  </si>
  <si>
    <t>jzsFqjb</t>
  </si>
  <si>
    <t>父亲疾病#位运算,可用值:[0:未 设 置 ],[1: 无 ],[2: 高 血压 ],[4: 糖 尿 病 ],[8: 冠 心病 ],[16: 慢 性 阻 塞 性 肺 疾病],[32: 恶性肿瘤],[64: 脑卒中 ],[128: 严 重 精 神 障碍 ],[256: 结 核 病 ],[512: 肝炎],[1024: 先天畸形],[2048:其他]</t>
  </si>
  <si>
    <t>jzsFqqtjb</t>
  </si>
  <si>
    <t>父亲其他疾病</t>
  </si>
  <si>
    <t>jzsMqjb</t>
  </si>
  <si>
    <t>母亲疾病#位运算,可用值:[0: 未 设 置 ],[1: 无 ],[2: 高 血压 ],[4: 糖 尿 病 ],[8: 冠 心病 ],[16: 慢 性 阻 塞 性 肺 疾病],[32: 恶性肿瘤],[64: 脑卒中 ],[128: 严 重 精 神 障碍 ],[256: 结 核 病 ],[512: 肝炎],[1024: 先天畸形],[2048:其他]</t>
  </si>
  <si>
    <t>jzsMqqtjb</t>
  </si>
  <si>
    <t>母亲其他疾病</t>
  </si>
  <si>
    <t>jzsXdjmjb</t>
  </si>
  <si>
    <t>兄弟姐妹疾病# 位运算, 可用值:[0: 未设置],[1: 无],[2: 高血压],[4: 糖尿病],[8: 冠心病 ],[16: 慢 性 阻 塞 性 肺 疾病],[32: 恶性肿瘤],[64: 脑卒中 ],[128: 严 重 精 神 障碍 ],[256: 结 核 病 ],[512: 肝炎],[1024: 先天畸形],[2048:其他]</t>
  </si>
  <si>
    <t>jzsXdjmqtjb</t>
  </si>
  <si>
    <t>兄弟姐妹其他疾病</t>
  </si>
  <si>
    <t>jzsZnjb</t>
  </si>
  <si>
    <t>子女疾病#位运算,可用值:[0: 未 设 置 ],[1: 无 ],[2: 高 血压 ],[4: 糖 尿 病 ],[8: 冠 心病 ],[16: 慢 性 阻 塞 性 肺 疾病],[32: 恶性肿瘤],[64: 脑卒中 ],[128: 严 重 精 神 障碍 ],[256: 结 核 病 ],[512: 肝炎],[1024: 先天畸形],[2048:其他]</t>
  </si>
  <si>
    <t>jzsZnqtjb</t>
  </si>
  <si>
    <t>子女其他疾病</t>
  </si>
  <si>
    <t>cjqk</t>
  </si>
  <si>
    <t>残疾情况#位运算,可用值:[0: 未设置],[1: 无残疾],[2: 视力残疾],[4: 听力残疾],[8: 言语残疾],[16: 肢体残疾],[32: 智力残疾],[64:精神残疾],[128: 其他残疾]</t>
  </si>
  <si>
    <t>cjqkqt</t>
  </si>
  <si>
    <t>残疾情况其他</t>
  </si>
  <si>
    <t>zrysId</t>
  </si>
  <si>
    <t>责任医生 id</t>
  </si>
  <si>
    <t>jdRq</t>
  </si>
  <si>
    <t>建档日期</t>
  </si>
  <si>
    <t>jdYsId</t>
  </si>
  <si>
    <t>建档医生 id</t>
  </si>
  <si>
    <t>hjdQhId</t>
  </si>
  <si>
    <t>户籍地区划 id</t>
  </si>
  <si>
    <t>hjdQhJbh</t>
  </si>
  <si>
    <t>户籍地区划组编号,jbh</t>
  </si>
  <si>
    <t>hjdXz</t>
  </si>
  <si>
    <t>户籍地家庭祥址</t>
  </si>
  <si>
    <t>xjdXz</t>
  </si>
  <si>
    <t>现居地家庭祥址</t>
  </si>
  <si>
    <t>xjdJtYhzgx</t>
  </si>
  <si>
    <t>现居地家庭与户主关系</t>
  </si>
  <si>
    <t>gzdw</t>
  </si>
  <si>
    <t>工作单位</t>
  </si>
  <si>
    <t>czlx</t>
  </si>
  <si>
    <t>常 住 类 型 , 可 用 值 :,[1: 户籍],[2:非户籍]</t>
  </si>
  <si>
    <t>jtInfo</t>
  </si>
  <si>
    <t>家庭居住环境,加入家庭时家庭居住环境若有变动请传入，若无变动请不要传，新建档案同时新家庭请传入</t>
  </si>
  <si>
    <t>OpenJtInfoDto</t>
  </si>
  <si>
    <t>jtId</t>
  </si>
  <si>
    <t>家庭 id</t>
  </si>
  <si>
    <t>integer</t>
  </si>
  <si>
    <t>cfpfss</t>
  </si>
  <si>
    <t>厨房排风措施, 可用值:,[1: 无 ],[2: 油 烟 机 ],[3: 换 气扇],[4:烟囱]</t>
  </si>
  <si>
    <t>rllx</t>
  </si>
  <si>
    <t>燃料类型, 可用值:,[1: 液化气],[2:煤],[3:天然气],[4:沼气],[5:柴火],[6:其他]</t>
  </si>
  <si>
    <t>ys</t>
  </si>
  <si>
    <t>饮水,可用值:,[1:自来水],[2:经净化过滤水],[3: 井水],[4:河湖水],[5:塘水],[6:其他]</t>
  </si>
  <si>
    <t>cs</t>
  </si>
  <si>
    <t>厕 所 , 可 用 值 :,[1: 卫 生 厕所 ],[2: 一 格 或 二 格 粪 池式 ],[3: 马 桶 ],[4: 露 天 粪坑],[5:简易棚厕]</t>
  </si>
  <si>
    <t>qcl</t>
  </si>
  <si>
    <t>禽畜栏,可用值:,[1:无],[2:单设],[3:室内],[4:室外]</t>
  </si>
  <si>
    <t>jpcs</t>
  </si>
  <si>
    <t>距派出所</t>
  </si>
  <si>
    <t>number</t>
  </si>
  <si>
    <t>jwsz</t>
  </si>
  <si>
    <t>距卫生站</t>
  </si>
  <si>
    <t>jwsy</t>
  </si>
  <si>
    <t>距卫生院</t>
  </si>
  <si>
    <t>jsd</t>
  </si>
  <si>
    <t>距商店</t>
  </si>
  <si>
    <t>zfcg</t>
  </si>
  <si>
    <t>住房采光,可用值:,[1:好],[2:一般],[3:差]</t>
  </si>
  <si>
    <t>zfmj</t>
  </si>
  <si>
    <t>住房面积</t>
  </si>
  <si>
    <t>zfqk</t>
  </si>
  <si>
    <t>住房情况,可用值:,[1:自建住房],[2: 自购商 品房],[3: 租房],[4: 经济适用房],[5: 安置房],[7:私房],[8:公房],[0:其他]</t>
  </si>
  <si>
    <t>zflx</t>
  </si>
  <si>
    <t>住房类型,可用值:,[1:普通楼房],[2: 高层楼房],[3: 砖瓦平房],[4:木棚土坯平房],[99:其他]</t>
  </si>
  <si>
    <t>bz</t>
  </si>
  <si>
    <t>备注</t>
  </si>
  <si>
    <t>gahh</t>
  </si>
  <si>
    <t>公安户号</t>
  </si>
  <si>
    <t>jtdh</t>
  </si>
  <si>
    <t>家庭电话</t>
  </si>
  <si>
    <t>jth</t>
  </si>
  <si>
    <t>集体户,可用值:[1:是],[0:否]</t>
  </si>
  <si>
    <t>knjt</t>
  </si>
  <si>
    <t>困难家庭,可用值:[1:是],[0:否]</t>
  </si>
  <si>
    <t>sdjt</t>
  </si>
  <si>
    <t>失独家庭,可用值:[1:是],[0:否]</t>
  </si>
  <si>
    <t>ygglr</t>
  </si>
  <si>
    <t>孤寡家庭,可用值:[1:是],[0:否]</t>
  </si>
  <si>
    <t>ylset</t>
  </si>
  <si>
    <t>留守家庭,可用值:[1:是],[0:否]</t>
  </si>
  <si>
    <t>dbjt</t>
  </si>
  <si>
    <t>低保家庭,可用值:[1:是],[0:否]</t>
  </si>
  <si>
    <t>jtfjt</t>
  </si>
  <si>
    <t>奖 扶 特 家 庭 , 可 用 值 :[1:是],[0:否]</t>
  </si>
  <si>
    <t>rbh</t>
  </si>
  <si>
    <t>村编码-家庭页面传入此参数才会修改区划信息</t>
  </si>
  <si>
    <t>jbh</t>
  </si>
  <si>
    <t>组编码-家庭页面传入此参数才会修改区划信息</t>
  </si>
  <si>
    <t>hidxz</t>
  </si>
  <si>
    <t>家庭详址</t>
  </si>
  <si>
    <t>jb</t>
  </si>
  <si>
    <t>疾病史</t>
  </si>
  <si>
    <t>array</t>
  </si>
  <si>
    <t>jbbm</t>
  </si>
  <si>
    <t>疾病编码,可用值:,[1:无],[2:高血压],[3: 糖尿病],[4: 冠心病 ],[5: 慢 性 阻 塞 性 肺 疾病],[6: 恶性肿 瘤],[7: 脑卒中],[8: 严重精神障碍],[9: 结核病],[10: 肝炎],[11: 其他法定传染病],[12: 职业病],[13: 其他]</t>
  </si>
  <si>
    <t>jbmc</t>
  </si>
  <si>
    <t>qzrq</t>
  </si>
  <si>
    <t>确诊日期</t>
  </si>
  <si>
    <t>rqbx</t>
  </si>
  <si>
    <t>确诊日期不详</t>
  </si>
  <si>
    <t>ss</t>
  </si>
  <si>
    <t>手术史</t>
  </si>
  <si>
    <t>ssmc</t>
  </si>
  <si>
    <t>手术名称</t>
  </si>
  <si>
    <t>ssrq</t>
  </si>
  <si>
    <t>手术日期</t>
  </si>
  <si>
    <t>手术日期不详</t>
  </si>
  <si>
    <t>ws</t>
  </si>
  <si>
    <t>外伤史</t>
  </si>
  <si>
    <t>wsmc</t>
  </si>
  <si>
    <t>外伤名称</t>
  </si>
  <si>
    <t>wsrq</t>
  </si>
  <si>
    <t>外伤日期</t>
  </si>
  <si>
    <t>外伤日期不详</t>
  </si>
  <si>
    <t>sx</t>
  </si>
  <si>
    <t>输血史</t>
  </si>
  <si>
    <t>sxyy</t>
  </si>
  <si>
    <t>输血原因</t>
  </si>
  <si>
    <t>sxrq</t>
  </si>
  <si>
    <t>输血日期</t>
  </si>
  <si>
    <t>输血日期不详</t>
  </si>
  <si>
    <t>ycbs</t>
  </si>
  <si>
    <t>遗传病史</t>
  </si>
  <si>
    <t>ycbmc</t>
  </si>
  <si>
    <t>遗传病名称</t>
  </si>
  <si>
    <t>zyBbfl</t>
  </si>
  <si>
    <t>职业不便分类</t>
  </si>
  <si>
    <t>jzlx</t>
  </si>
  <si>
    <t>居 住 类 型 , 可 用 值 :[1: 常住],[2:暂住],[3:流动],[4:其他]</t>
  </si>
  <si>
    <t xml:space="preserve"> </t>
  </si>
  <si>
    <t>类别</t>
  </si>
  <si>
    <t>前置任务</t>
  </si>
  <si>
    <t>所需证据</t>
  </si>
  <si>
    <t>验收责任方</t>
  </si>
  <si>
    <t>计划完成日</t>
  </si>
  <si>
    <t>证据位置/备注</t>
  </si>
  <si>
    <t>G01</t>
  </si>
  <si>
    <t>冻结机构、业务域、接口代码与使用期限</t>
  </si>
  <si>
    <t>批准的接入申请表和范围决议</t>
  </si>
  <si>
    <t>医院信息科</t>
  </si>
  <si>
    <t>项目负责人</t>
  </si>
  <si>
    <t>G02</t>
  </si>
  <si>
    <t>契约</t>
  </si>
  <si>
    <t>取得正式WSDL/OpenAPI与版本信息</t>
  </si>
  <si>
    <t>原始契约文件、发布日期或哈希</t>
  </si>
  <si>
    <t>平台主管部门</t>
  </si>
  <si>
    <t>合同阻断</t>
  </si>
  <si>
    <t>G03</t>
  </si>
  <si>
    <t>关闭D01-D18中的阻断性冲突</t>
  </si>
  <si>
    <t>书面勘误、邮件确认或联调记录</t>
  </si>
  <si>
    <t>G04</t>
  </si>
  <si>
    <t>网络</t>
  </si>
  <si>
    <t>确认测试/生产路由、DNS、端口和出口IP</t>
  </si>
  <si>
    <t>网络拓扑、策略单、连通性记录</t>
  </si>
  <si>
    <t>医院网络安全</t>
  </si>
  <si>
    <t>G05</t>
  </si>
  <si>
    <t>安全</t>
  </si>
  <si>
    <t>验证TLS证书链、白名单和NTP</t>
  </si>
  <si>
    <t>证书检查、白名单回执、时钟偏差记录</t>
  </si>
  <si>
    <t>G06</t>
  </si>
  <si>
    <t>身份</t>
  </si>
  <si>
    <t>发放并登记厂商编号、账号、验证码和应用凭证</t>
  </si>
  <si>
    <t>发放记录、保管人与轮换周期，不登记明文密钥</t>
  </si>
  <si>
    <t>G07</t>
  </si>
  <si>
    <t>数据</t>
  </si>
  <si>
    <t>准备脱敏样例和字段映射</t>
  </si>
  <si>
    <t>患者、就诊、申请单、报告、病历样例包</t>
  </si>
  <si>
    <t>业务科室/HIS厂商</t>
  </si>
  <si>
    <t>G08</t>
  </si>
  <si>
    <t>确认机构、人员、科室、诊断和三大目录版本</t>
  </si>
  <si>
    <t>映射表、字典版本与差异清单</t>
  </si>
  <si>
    <t>业务科室</t>
  </si>
  <si>
    <t>G09</t>
  </si>
  <si>
    <t>冻结契约测试与端到端场景</t>
  </si>
  <si>
    <t>用例、预期断言、签字人和证据目录</t>
  </si>
  <si>
    <t>业务科室/信息科</t>
  </si>
  <si>
    <t>G10</t>
  </si>
  <si>
    <t>运维</t>
  </si>
  <si>
    <t>准备监控、告警、重放、对账和回退</t>
  </si>
  <si>
    <t>演练记录、值班表、告警截图和回退步骤</t>
  </si>
  <si>
    <t>环境</t>
  </si>
  <si>
    <t>目标系统</t>
  </si>
  <si>
    <t>参数项</t>
  </si>
  <si>
    <t>要求</t>
  </si>
  <si>
    <t>当前值/证据</t>
  </si>
  <si>
    <t>状态</t>
  </si>
  <si>
    <t>测试</t>
  </si>
  <si>
    <t>基础URL/OpenAPI</t>
  </si>
  <si>
    <t>与获批区域和机构一致；记录版本</t>
  </si>
  <si>
    <t>待提供</t>
  </si>
  <si>
    <t>未确认</t>
  </si>
  <si>
    <t>出口IP/白名单</t>
  </si>
  <si>
    <t>记录申请单与生效时段</t>
  </si>
  <si>
    <t>应用凭证</t>
  </si>
  <si>
    <t>仅登记凭证编号、保管人和到期日，不填明文</t>
  </si>
  <si>
    <t>基层HIS</t>
  </si>
  <si>
    <t>WebService URL/WSDL/SOAPAction</t>
  </si>
  <si>
    <t>明确HTTPS、端口和PHIS_Interface/HIS_Interface</t>
  </si>
  <si>
    <t>厂商编号/验证码</t>
  </si>
  <si>
    <t>仅登记发放记录，不填明文</t>
  </si>
  <si>
    <t>生产</t>
  </si>
  <si>
    <t>基础URL/证书链/限流</t>
  </si>
  <si>
    <t>不得直接沿用测试配置</t>
  </si>
  <si>
    <t>WebService URL/WSDL/证书链</t>
  </si>
  <si>
    <t>与批准的生产基线一致</t>
  </si>
  <si>
    <t>全部</t>
  </si>
  <si>
    <t>院内集成平台</t>
  </si>
  <si>
    <t>NTP/时区</t>
  </si>
  <si>
    <t>Asia/Shanghai；记录时钟偏差</t>
  </si>
  <si>
    <t>待验证</t>
  </si>
  <si>
    <t>医院运维</t>
  </si>
  <si>
    <t>日志与证据目录</t>
  </si>
  <si>
    <t>环境隔离、脱敏、权限和保留期明确</t>
  </si>
  <si>
    <t>里程碑</t>
  </si>
  <si>
    <t>任务</t>
  </si>
  <si>
    <t>前置条件</t>
  </si>
  <si>
    <t>计划日期</t>
  </si>
  <si>
    <t>完成证据</t>
  </si>
  <si>
    <t>M0</t>
  </si>
  <si>
    <t>范围冻结</t>
  </si>
  <si>
    <t>申请表/范围决议</t>
  </si>
  <si>
    <t>M1</t>
  </si>
  <si>
    <t>契约基线</t>
  </si>
  <si>
    <t>平台主管部门+集成平台厂商</t>
  </si>
  <si>
    <t>G02-G03</t>
  </si>
  <si>
    <t>契约、勘误单、版本指纹</t>
  </si>
  <si>
    <t>M2</t>
  </si>
  <si>
    <t>环境就绪</t>
  </si>
  <si>
    <t>医院网络安全+信息科</t>
  </si>
  <si>
    <t>G04-G06</t>
  </si>
  <si>
    <t>连通性、TLS、白名单、NTP记录</t>
  </si>
  <si>
    <t>M3</t>
  </si>
  <si>
    <t>P0单接口通过</t>
  </si>
  <si>
    <t>HIS/集成平台厂商</t>
  </si>
  <si>
    <t>M1-M2、G07-G09</t>
  </si>
  <si>
    <t>请求响应、断言、traceId、缺陷记录</t>
  </si>
  <si>
    <t>M4</t>
  </si>
  <si>
    <t>P1业务域验收</t>
  </si>
  <si>
    <t>业务科室+信息科</t>
  </si>
  <si>
    <t>端到端、补偿和对账报告</t>
  </si>
  <si>
    <t>M5</t>
  </si>
  <si>
    <t>生产准入</t>
  </si>
  <si>
    <t>变更审批责任人</t>
  </si>
  <si>
    <t>M4、G10</t>
  </si>
  <si>
    <t>上线检查、回退演练、签字记录</t>
  </si>
  <si>
    <t>检查项</t>
  </si>
  <si>
    <t>通过标准</t>
  </si>
  <si>
    <t>证据位置</t>
  </si>
  <si>
    <t>回退/停写触发</t>
  </si>
  <si>
    <t>C01</t>
  </si>
  <si>
    <t>生产机构与接口开关</t>
  </si>
  <si>
    <t>与批准范围一致，未批准域默认关闭</t>
  </si>
  <si>
    <t>未检查</t>
  </si>
  <si>
    <t>发现越范围调用</t>
  </si>
  <si>
    <t>C02</t>
  </si>
  <si>
    <t>患者、机构、人员和目录抽样</t>
  </si>
  <si>
    <t>关键标识100%匹配</t>
  </si>
  <si>
    <t>患者错配或跨机构数据</t>
  </si>
  <si>
    <t>C03</t>
  </si>
  <si>
    <t>可靠性</t>
  </si>
  <si>
    <t>重复、超时未知、重放和对账</t>
  </si>
  <si>
    <t>测试用例全部通过且状态可追踪</t>
  </si>
  <si>
    <t>无法确认写入结果或无法补偿</t>
  </si>
  <si>
    <t>C04</t>
  </si>
  <si>
    <t>性能</t>
  </si>
  <si>
    <t>峰值容量与队列清空</t>
  </si>
  <si>
    <t>P95和容量达到评审基线</t>
  </si>
  <si>
    <t>P95连续15分钟超过基线2倍或队列预计2小时无法清空</t>
  </si>
  <si>
    <t>C05</t>
  </si>
  <si>
    <t>TLS、白名单、最小权限、脱敏、凭证轮换</t>
  </si>
  <si>
    <t>安全检查全部通过</t>
  </si>
  <si>
    <t>凭证泄露、未授权访问或敏感日志外泄</t>
  </si>
  <si>
    <t>C06</t>
  </si>
  <si>
    <t>监控</t>
  </si>
  <si>
    <t>接口、业务、队列、资源和证书告警</t>
  </si>
  <si>
    <t>告警接收与升级链验证通过</t>
  </si>
  <si>
    <t>关键状态不可观测或告警失效</t>
  </si>
  <si>
    <t>C07</t>
  </si>
  <si>
    <t>回退</t>
  </si>
  <si>
    <t>停写、冻结队列、恢复配置和数据核对演练</t>
  </si>
  <si>
    <t>演练完成并有签字记录</t>
  </si>
  <si>
    <t>无法执行批准的回退步骤</t>
  </si>
  <si>
    <t>C08</t>
  </si>
  <si>
    <t>值守</t>
  </si>
  <si>
    <t>上线窗口、联系人、升级路径和日报</t>
  </si>
  <si>
    <t>人员到位且联系方式验证</t>
  </si>
  <si>
    <t>关键责任人不可用</t>
  </si>
  <si>
    <t>版本</t>
  </si>
  <si>
    <t>日期</t>
  </si>
  <si>
    <t>变更内容</t>
  </si>
  <si>
    <t>编制</t>
  </si>
  <si>
    <t>审核</t>
  </si>
  <si>
    <t>V1.1</t>
  </si>
  <si>
    <t>2026-09-10</t>
  </si>
  <si>
    <t>新增逐接口责任/状态/阻断/证据字段，以及联调准备、环境参数、责任里程碑和上线检查表</t>
  </si>
  <si>
    <t>评审稿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</si>
</sst>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Arial"/>
      <charset val="134"/>
    </font>
    <font>
      <b/>
      <sz val="11"/>
      <name val="Arial"/>
      <charset val="134"/>
    </font>
    <font>
      <b/>
      <sz val="16"/>
      <color rgb="FFFFFFFF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2" borderId="0" xfId="0" applyFont="1" applyFill="1" applyAlignment="1">
      <alignment wrapText="1"/>
    </xf>
    <xf numFmtId="0" fontId="2" fillId="4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3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A1" sqref="A1:B1"/>
    </sheetView>
  </sheetViews>
  <sheetFormatPr defaultColWidth="9" defaultRowHeight="13.5" outlineLevelCol="1"/>
  <cols>
    <col min="1" max="1" width="28" customWidth="1"/>
    <col min="2" max="2" width="100" customWidth="1"/>
  </cols>
  <sheetData>
    <row r="1" ht="30" customHeight="1" spans="1:2">
      <c r="A1" s="9" t="s">
        <v>0</v>
      </c>
    </row>
    <row r="2" spans="1:2">
      <c r="A2" s="5" t="s">
        <v>1</v>
      </c>
      <c r="B2" s="5" t="s">
        <v>2</v>
      </c>
    </row>
    <row r="3" spans="1:2">
      <c r="A3" s="2" t="s">
        <v>3</v>
      </c>
      <c r="B3" s="2">
        <f>COUNTIF(接口矩阵!B:B,"健康云")</f>
        <v>21</v>
      </c>
    </row>
    <row r="4" spans="1:2">
      <c r="A4" s="2" t="s">
        <v>4</v>
      </c>
      <c r="B4" s="2">
        <f>COUNTIF(接口矩阵!B:B,"基卫")-1</f>
        <v>53</v>
      </c>
    </row>
    <row r="5" spans="1:2">
      <c r="A5" s="2" t="s">
        <v>5</v>
      </c>
      <c r="B5" s="2">
        <f>COUNTA(接口矩阵!A:A)-1</f>
        <v>75</v>
      </c>
    </row>
    <row r="6" spans="1:2">
      <c r="A6" s="2" t="s">
        <v>6</v>
      </c>
      <c r="B6" s="2">
        <f>COUNTIF(待确认事项!B:B,"阻断")+COUNTIF(待确认事项!B:B,"高")</f>
        <v>15</v>
      </c>
    </row>
    <row r="7" spans="1:2">
      <c r="A7" s="2" t="s">
        <v>7</v>
      </c>
      <c r="B7" s="2" t="s">
        <v>8</v>
      </c>
    </row>
    <row r="8" spans="1:2">
      <c r="A8" s="2" t="s">
        <v>9</v>
      </c>
      <c r="B8" s="2" t="s">
        <v>10</v>
      </c>
    </row>
    <row r="9" spans="1:2">
      <c r="A9" s="2" t="s">
        <v>11</v>
      </c>
      <c r="B9" s="2" t="s">
        <v>12</v>
      </c>
    </row>
    <row r="10" spans="1:2">
      <c r="A10" s="2" t="s">
        <v>13</v>
      </c>
      <c r="B10" s="2" t="s">
        <v>14</v>
      </c>
    </row>
    <row r="11" spans="1:2">
      <c r="A11" s="2" t="s">
        <v>15</v>
      </c>
      <c r="B11" s="2" t="s">
        <v>16</v>
      </c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6" customWidth="1"/>
    <col min="2" max="2" width="10" customWidth="1"/>
    <col min="3" max="3" width="18" customWidth="1"/>
    <col min="4" max="4" width="28" customWidth="1"/>
    <col min="5" max="5" width="22" customWidth="1"/>
    <col min="6" max="6" width="16" customWidth="1"/>
    <col min="7" max="7" width="30" customWidth="1"/>
    <col min="8" max="8" width="20" customWidth="1"/>
    <col min="9" max="9" width="10" customWidth="1"/>
    <col min="10" max="10" width="14" customWidth="1"/>
    <col min="11" max="11" width="38" customWidth="1"/>
    <col min="12" max="12" width="25" customWidth="1"/>
    <col min="13" max="13" width="32" customWidth="1"/>
    <col min="14" max="14" width="36" customWidth="1"/>
    <col min="15" max="15" width="30" customWidth="1"/>
    <col min="16" max="16" width="38" customWidth="1"/>
    <col min="17" max="17" width="26" customWidth="1"/>
    <col min="18" max="18" width="48" customWidth="1"/>
    <col min="19" max="19" width="42" customWidth="1"/>
    <col min="20" max="21" width="38" customWidth="1"/>
    <col min="22" max="22" width="12" customWidth="1"/>
    <col min="23" max="23" width="18" customWidth="1"/>
    <col min="24" max="24" width="16" customWidth="1"/>
    <col min="25" max="25" width="18" customWidth="1"/>
    <col min="26" max="26" width="34" customWidth="1"/>
  </cols>
  <sheetData>
    <row r="1" ht="36" customHeight="1" spans="1:26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ht="27" spans="1:26">
      <c r="A2" s="2">
        <v>1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48</v>
      </c>
      <c r="H2" s="2" t="s">
        <v>49</v>
      </c>
      <c r="I2" s="2"/>
      <c r="J2" s="8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 t="s">
        <v>60</v>
      </c>
      <c r="V2" s="2">
        <v>2</v>
      </c>
      <c r="W2" s="3" t="s">
        <v>61</v>
      </c>
      <c r="X2" s="3" t="s">
        <v>62</v>
      </c>
      <c r="Y2" s="2" t="s">
        <v>63</v>
      </c>
      <c r="Z2" s="3" t="s">
        <v>64</v>
      </c>
    </row>
    <row r="3" ht="27" spans="1:26">
      <c r="A3" s="2">
        <v>2</v>
      </c>
      <c r="B3" s="2" t="s">
        <v>43</v>
      </c>
      <c r="C3" s="2" t="s">
        <v>44</v>
      </c>
      <c r="D3" s="2" t="s">
        <v>65</v>
      </c>
      <c r="E3" s="2" t="s">
        <v>66</v>
      </c>
      <c r="F3" s="2" t="s">
        <v>67</v>
      </c>
      <c r="G3" s="2" t="s">
        <v>68</v>
      </c>
      <c r="H3" s="2" t="s">
        <v>49</v>
      </c>
      <c r="I3" s="2"/>
      <c r="J3" s="8" t="s">
        <v>50</v>
      </c>
      <c r="K3" s="2" t="s">
        <v>51</v>
      </c>
      <c r="L3" s="2" t="s">
        <v>52</v>
      </c>
      <c r="M3" s="2" t="s">
        <v>53</v>
      </c>
      <c r="N3" s="2" t="s">
        <v>69</v>
      </c>
      <c r="O3" s="2" t="s">
        <v>70</v>
      </c>
      <c r="P3" s="2" t="s">
        <v>71</v>
      </c>
      <c r="Q3" s="2" t="s">
        <v>72</v>
      </c>
      <c r="R3" s="2" t="s">
        <v>58</v>
      </c>
      <c r="S3" s="2" t="s">
        <v>73</v>
      </c>
      <c r="T3" s="2" t="s">
        <v>60</v>
      </c>
      <c r="U3" s="2" t="s">
        <v>60</v>
      </c>
      <c r="V3" s="2">
        <v>3</v>
      </c>
      <c r="W3" s="3" t="s">
        <v>61</v>
      </c>
      <c r="X3" s="3" t="s">
        <v>62</v>
      </c>
      <c r="Y3" s="2" t="s">
        <v>63</v>
      </c>
      <c r="Z3" s="3" t="s">
        <v>64</v>
      </c>
    </row>
    <row r="4" ht="27" spans="1:26">
      <c r="A4" s="2">
        <v>3</v>
      </c>
      <c r="B4" s="2" t="s">
        <v>43</v>
      </c>
      <c r="C4" s="2" t="s">
        <v>44</v>
      </c>
      <c r="D4" s="2" t="s">
        <v>74</v>
      </c>
      <c r="E4" s="2" t="s">
        <v>75</v>
      </c>
      <c r="F4" s="2" t="s">
        <v>67</v>
      </c>
      <c r="G4" s="2" t="s">
        <v>68</v>
      </c>
      <c r="H4" s="2" t="s">
        <v>49</v>
      </c>
      <c r="I4" s="2"/>
      <c r="J4" s="8" t="s">
        <v>50</v>
      </c>
      <c r="K4" s="2" t="s">
        <v>51</v>
      </c>
      <c r="L4" s="2" t="s">
        <v>52</v>
      </c>
      <c r="M4" s="2" t="s">
        <v>53</v>
      </c>
      <c r="N4" s="2" t="s">
        <v>69</v>
      </c>
      <c r="O4" s="2" t="s">
        <v>70</v>
      </c>
      <c r="P4" s="2" t="s">
        <v>71</v>
      </c>
      <c r="Q4" s="2" t="s">
        <v>72</v>
      </c>
      <c r="R4" s="2" t="s">
        <v>58</v>
      </c>
      <c r="S4" s="2" t="s">
        <v>73</v>
      </c>
      <c r="T4" s="2" t="s">
        <v>60</v>
      </c>
      <c r="U4" s="2" t="s">
        <v>60</v>
      </c>
      <c r="V4" s="2">
        <v>4</v>
      </c>
      <c r="W4" s="3" t="s">
        <v>61</v>
      </c>
      <c r="X4" s="3" t="s">
        <v>62</v>
      </c>
      <c r="Y4" s="2" t="s">
        <v>63</v>
      </c>
      <c r="Z4" s="3" t="s">
        <v>64</v>
      </c>
    </row>
    <row r="5" ht="27" spans="1:26">
      <c r="A5" s="2">
        <v>4</v>
      </c>
      <c r="B5" s="2" t="s">
        <v>43</v>
      </c>
      <c r="C5" s="2" t="s">
        <v>76</v>
      </c>
      <c r="D5" s="2" t="s">
        <v>77</v>
      </c>
      <c r="E5" s="2" t="s">
        <v>78</v>
      </c>
      <c r="F5" s="2" t="s">
        <v>67</v>
      </c>
      <c r="G5" s="2" t="s">
        <v>79</v>
      </c>
      <c r="H5" s="2" t="s">
        <v>80</v>
      </c>
      <c r="I5" s="2">
        <v>3</v>
      </c>
      <c r="J5" s="3" t="s">
        <v>81</v>
      </c>
      <c r="K5" s="2" t="s">
        <v>51</v>
      </c>
      <c r="L5" s="2" t="s">
        <v>52</v>
      </c>
      <c r="M5" s="2" t="s">
        <v>53</v>
      </c>
      <c r="N5" s="2" t="s">
        <v>69</v>
      </c>
      <c r="O5" s="2" t="s">
        <v>70</v>
      </c>
      <c r="P5" s="2" t="s">
        <v>71</v>
      </c>
      <c r="Q5" s="2" t="s">
        <v>72</v>
      </c>
      <c r="R5" s="2" t="s">
        <v>58</v>
      </c>
      <c r="S5" s="2" t="s">
        <v>73</v>
      </c>
      <c r="T5" s="2" t="s">
        <v>82</v>
      </c>
      <c r="U5" s="2" t="s">
        <v>83</v>
      </c>
      <c r="V5" s="2">
        <v>5</v>
      </c>
      <c r="W5" s="3" t="s">
        <v>61</v>
      </c>
      <c r="X5" s="3" t="s">
        <v>62</v>
      </c>
      <c r="Y5" s="2" t="s">
        <v>63</v>
      </c>
      <c r="Z5" s="3" t="s">
        <v>64</v>
      </c>
    </row>
    <row r="6" ht="27" spans="1:26">
      <c r="A6" s="2">
        <v>5</v>
      </c>
      <c r="B6" s="2" t="s">
        <v>43</v>
      </c>
      <c r="C6" s="2" t="s">
        <v>76</v>
      </c>
      <c r="D6" s="2" t="s">
        <v>84</v>
      </c>
      <c r="E6" s="2" t="s">
        <v>85</v>
      </c>
      <c r="F6" s="2" t="s">
        <v>67</v>
      </c>
      <c r="G6" s="2" t="s">
        <v>79</v>
      </c>
      <c r="H6" s="2" t="s">
        <v>80</v>
      </c>
      <c r="I6" s="2">
        <v>3</v>
      </c>
      <c r="J6" s="3" t="s">
        <v>81</v>
      </c>
      <c r="K6" s="2" t="s">
        <v>51</v>
      </c>
      <c r="L6" s="2" t="s">
        <v>52</v>
      </c>
      <c r="M6" s="2" t="s">
        <v>53</v>
      </c>
      <c r="N6" s="2" t="s">
        <v>69</v>
      </c>
      <c r="O6" s="2" t="s">
        <v>70</v>
      </c>
      <c r="P6" s="2" t="s">
        <v>71</v>
      </c>
      <c r="Q6" s="2" t="s">
        <v>72</v>
      </c>
      <c r="R6" s="2" t="s">
        <v>58</v>
      </c>
      <c r="S6" s="2" t="s">
        <v>73</v>
      </c>
      <c r="T6" s="2" t="s">
        <v>82</v>
      </c>
      <c r="U6" s="2" t="s">
        <v>83</v>
      </c>
      <c r="V6" s="2">
        <v>6</v>
      </c>
      <c r="W6" s="3" t="s">
        <v>61</v>
      </c>
      <c r="X6" s="3" t="s">
        <v>62</v>
      </c>
      <c r="Y6" s="2" t="s">
        <v>63</v>
      </c>
      <c r="Z6" s="3" t="s">
        <v>64</v>
      </c>
    </row>
    <row r="7" ht="27" spans="1:26">
      <c r="A7" s="2">
        <v>6</v>
      </c>
      <c r="B7" s="2" t="s">
        <v>43</v>
      </c>
      <c r="C7" s="2" t="s">
        <v>76</v>
      </c>
      <c r="D7" s="2" t="s">
        <v>86</v>
      </c>
      <c r="E7" s="2" t="s">
        <v>87</v>
      </c>
      <c r="F7" s="2" t="s">
        <v>47</v>
      </c>
      <c r="G7" s="2" t="s">
        <v>79</v>
      </c>
      <c r="H7" s="2" t="s">
        <v>80</v>
      </c>
      <c r="I7" s="2">
        <v>1</v>
      </c>
      <c r="J7" s="8" t="s">
        <v>88</v>
      </c>
      <c r="K7" s="2" t="s">
        <v>51</v>
      </c>
      <c r="L7" s="2" t="s">
        <v>89</v>
      </c>
      <c r="M7" s="2" t="s">
        <v>90</v>
      </c>
      <c r="N7" s="2" t="s">
        <v>69</v>
      </c>
      <c r="O7" s="2" t="s">
        <v>91</v>
      </c>
      <c r="P7" s="2" t="s">
        <v>92</v>
      </c>
      <c r="Q7" s="2" t="s">
        <v>57</v>
      </c>
      <c r="R7" s="2" t="s">
        <v>93</v>
      </c>
      <c r="S7" s="2" t="s">
        <v>94</v>
      </c>
      <c r="T7" s="2" t="s">
        <v>95</v>
      </c>
      <c r="U7" s="2" t="s">
        <v>96</v>
      </c>
      <c r="V7" s="2">
        <v>7</v>
      </c>
      <c r="W7" s="3" t="s">
        <v>61</v>
      </c>
      <c r="X7" s="3" t="s">
        <v>62</v>
      </c>
      <c r="Y7" s="2" t="s">
        <v>63</v>
      </c>
      <c r="Z7" s="3" t="s">
        <v>64</v>
      </c>
    </row>
    <row r="8" ht="40.5" spans="1:26">
      <c r="A8" s="2">
        <v>7</v>
      </c>
      <c r="B8" s="2" t="s">
        <v>43</v>
      </c>
      <c r="C8" s="2" t="s">
        <v>76</v>
      </c>
      <c r="D8" s="2" t="s">
        <v>97</v>
      </c>
      <c r="E8" s="2" t="s">
        <v>98</v>
      </c>
      <c r="F8" s="2" t="s">
        <v>99</v>
      </c>
      <c r="G8" s="2" t="s">
        <v>79</v>
      </c>
      <c r="H8" s="2" t="s">
        <v>80</v>
      </c>
      <c r="I8" s="2">
        <v>1</v>
      </c>
      <c r="J8" s="8" t="s">
        <v>88</v>
      </c>
      <c r="K8" s="2" t="s">
        <v>51</v>
      </c>
      <c r="L8" s="2" t="s">
        <v>100</v>
      </c>
      <c r="M8" s="2" t="s">
        <v>101</v>
      </c>
      <c r="N8" s="2" t="s">
        <v>102</v>
      </c>
      <c r="O8" s="2" t="s">
        <v>103</v>
      </c>
      <c r="P8" s="2" t="s">
        <v>104</v>
      </c>
      <c r="Q8" s="2" t="s">
        <v>57</v>
      </c>
      <c r="R8" s="2" t="s">
        <v>105</v>
      </c>
      <c r="S8" s="2" t="s">
        <v>94</v>
      </c>
      <c r="T8" s="2" t="s">
        <v>95</v>
      </c>
      <c r="U8" s="2" t="s">
        <v>96</v>
      </c>
      <c r="V8" s="2">
        <v>8</v>
      </c>
      <c r="W8" s="3" t="s">
        <v>61</v>
      </c>
      <c r="X8" s="3" t="s">
        <v>62</v>
      </c>
      <c r="Y8" s="2" t="s">
        <v>63</v>
      </c>
      <c r="Z8" s="3" t="s">
        <v>64</v>
      </c>
    </row>
    <row r="9" ht="27" spans="1:26">
      <c r="A9" s="2">
        <v>8</v>
      </c>
      <c r="B9" s="2" t="s">
        <v>43</v>
      </c>
      <c r="C9" s="2" t="s">
        <v>76</v>
      </c>
      <c r="D9" s="2" t="s">
        <v>106</v>
      </c>
      <c r="E9" s="2" t="s">
        <v>107</v>
      </c>
      <c r="F9" s="2" t="s">
        <v>47</v>
      </c>
      <c r="G9" s="2" t="s">
        <v>79</v>
      </c>
      <c r="H9" s="2" t="s">
        <v>108</v>
      </c>
      <c r="I9" s="2"/>
      <c r="J9" s="6" t="s">
        <v>109</v>
      </c>
      <c r="K9" s="2" t="s">
        <v>51</v>
      </c>
      <c r="L9" s="2" t="s">
        <v>89</v>
      </c>
      <c r="M9" s="2" t="s">
        <v>90</v>
      </c>
      <c r="N9" s="2" t="s">
        <v>69</v>
      </c>
      <c r="O9" s="2" t="s">
        <v>91</v>
      </c>
      <c r="P9" s="2" t="s">
        <v>92</v>
      </c>
      <c r="Q9" s="2" t="s">
        <v>57</v>
      </c>
      <c r="R9" s="2" t="s">
        <v>93</v>
      </c>
      <c r="S9" s="2" t="s">
        <v>94</v>
      </c>
      <c r="T9" s="2" t="s">
        <v>60</v>
      </c>
      <c r="U9" s="2" t="s">
        <v>60</v>
      </c>
      <c r="V9" s="2">
        <v>9</v>
      </c>
      <c r="W9" s="3" t="s">
        <v>61</v>
      </c>
      <c r="X9" s="3" t="s">
        <v>62</v>
      </c>
      <c r="Y9" s="2" t="s">
        <v>63</v>
      </c>
      <c r="Z9" s="3" t="s">
        <v>64</v>
      </c>
    </row>
    <row r="10" ht="27" spans="1:26">
      <c r="A10" s="2">
        <v>9</v>
      </c>
      <c r="B10" s="2" t="s">
        <v>43</v>
      </c>
      <c r="C10" s="2" t="s">
        <v>110</v>
      </c>
      <c r="D10" s="2" t="s">
        <v>111</v>
      </c>
      <c r="E10" s="2" t="s">
        <v>112</v>
      </c>
      <c r="F10" s="2" t="s">
        <v>47</v>
      </c>
      <c r="G10" s="2" t="s">
        <v>113</v>
      </c>
      <c r="H10" s="2" t="s">
        <v>80</v>
      </c>
      <c r="I10" s="2">
        <v>1</v>
      </c>
      <c r="J10" s="8" t="s">
        <v>88</v>
      </c>
      <c r="K10" s="2" t="s">
        <v>51</v>
      </c>
      <c r="L10" s="2" t="s">
        <v>89</v>
      </c>
      <c r="M10" s="2" t="s">
        <v>90</v>
      </c>
      <c r="N10" s="2" t="s">
        <v>69</v>
      </c>
      <c r="O10" s="2" t="s">
        <v>91</v>
      </c>
      <c r="P10" s="2" t="s">
        <v>92</v>
      </c>
      <c r="Q10" s="2" t="s">
        <v>57</v>
      </c>
      <c r="R10" s="2" t="s">
        <v>93</v>
      </c>
      <c r="S10" s="2" t="s">
        <v>94</v>
      </c>
      <c r="T10" s="2" t="s">
        <v>95</v>
      </c>
      <c r="U10" s="2" t="s">
        <v>96</v>
      </c>
      <c r="V10" s="2">
        <v>10</v>
      </c>
      <c r="W10" s="3" t="s">
        <v>61</v>
      </c>
      <c r="X10" s="3" t="s">
        <v>62</v>
      </c>
      <c r="Y10" s="2" t="s">
        <v>63</v>
      </c>
      <c r="Z10" s="3" t="s">
        <v>64</v>
      </c>
    </row>
    <row r="11" ht="40.5" spans="1:26">
      <c r="A11" s="2">
        <v>10</v>
      </c>
      <c r="B11" s="2" t="s">
        <v>43</v>
      </c>
      <c r="C11" s="2" t="s">
        <v>110</v>
      </c>
      <c r="D11" s="2" t="s">
        <v>114</v>
      </c>
      <c r="E11" s="2" t="s">
        <v>115</v>
      </c>
      <c r="F11" s="2" t="s">
        <v>99</v>
      </c>
      <c r="G11" s="2" t="s">
        <v>113</v>
      </c>
      <c r="H11" s="2" t="s">
        <v>80</v>
      </c>
      <c r="I11" s="2">
        <v>1</v>
      </c>
      <c r="J11" s="8" t="s">
        <v>88</v>
      </c>
      <c r="K11" s="2" t="s">
        <v>51</v>
      </c>
      <c r="L11" s="2" t="s">
        <v>100</v>
      </c>
      <c r="M11" s="2" t="s">
        <v>101</v>
      </c>
      <c r="N11" s="2" t="s">
        <v>102</v>
      </c>
      <c r="O11" s="2" t="s">
        <v>103</v>
      </c>
      <c r="P11" s="2" t="s">
        <v>104</v>
      </c>
      <c r="Q11" s="2" t="s">
        <v>57</v>
      </c>
      <c r="R11" s="2" t="s">
        <v>105</v>
      </c>
      <c r="S11" s="2" t="s">
        <v>94</v>
      </c>
      <c r="T11" s="2" t="s">
        <v>95</v>
      </c>
      <c r="U11" s="2" t="s">
        <v>96</v>
      </c>
      <c r="V11" s="2">
        <v>11</v>
      </c>
      <c r="W11" s="3" t="s">
        <v>61</v>
      </c>
      <c r="X11" s="3" t="s">
        <v>62</v>
      </c>
      <c r="Y11" s="2" t="s">
        <v>63</v>
      </c>
      <c r="Z11" s="3" t="s">
        <v>64</v>
      </c>
    </row>
    <row r="12" ht="27" spans="1:26">
      <c r="A12" s="2">
        <v>11</v>
      </c>
      <c r="B12" s="2" t="s">
        <v>43</v>
      </c>
      <c r="C12" s="2" t="s">
        <v>110</v>
      </c>
      <c r="D12" s="2" t="s">
        <v>116</v>
      </c>
      <c r="E12" s="2" t="s">
        <v>117</v>
      </c>
      <c r="F12" s="2" t="s">
        <v>47</v>
      </c>
      <c r="G12" s="2" t="s">
        <v>113</v>
      </c>
      <c r="H12" s="2" t="s">
        <v>118</v>
      </c>
      <c r="I12" s="2">
        <v>99</v>
      </c>
      <c r="J12" s="6" t="s">
        <v>119</v>
      </c>
      <c r="K12" s="2" t="s">
        <v>51</v>
      </c>
      <c r="L12" s="2" t="s">
        <v>89</v>
      </c>
      <c r="M12" s="2" t="s">
        <v>90</v>
      </c>
      <c r="N12" s="2" t="s">
        <v>69</v>
      </c>
      <c r="O12" s="2" t="s">
        <v>91</v>
      </c>
      <c r="P12" s="2" t="s">
        <v>92</v>
      </c>
      <c r="Q12" s="2" t="s">
        <v>57</v>
      </c>
      <c r="R12" s="2" t="s">
        <v>93</v>
      </c>
      <c r="S12" s="2" t="s">
        <v>94</v>
      </c>
      <c r="T12" s="2" t="s">
        <v>60</v>
      </c>
      <c r="U12" s="2" t="s">
        <v>96</v>
      </c>
      <c r="V12" s="2">
        <v>12</v>
      </c>
      <c r="W12" s="3" t="s">
        <v>61</v>
      </c>
      <c r="X12" s="3" t="s">
        <v>62</v>
      </c>
      <c r="Y12" s="2" t="s">
        <v>63</v>
      </c>
      <c r="Z12" s="3" t="s">
        <v>64</v>
      </c>
    </row>
    <row r="13" ht="40.5" spans="1:26">
      <c r="A13" s="2">
        <v>12</v>
      </c>
      <c r="B13" s="2" t="s">
        <v>43</v>
      </c>
      <c r="C13" s="2" t="s">
        <v>110</v>
      </c>
      <c r="D13" s="2" t="s">
        <v>120</v>
      </c>
      <c r="E13" s="2" t="s">
        <v>121</v>
      </c>
      <c r="F13" s="2" t="s">
        <v>99</v>
      </c>
      <c r="G13" s="2" t="s">
        <v>113</v>
      </c>
      <c r="H13" s="2" t="s">
        <v>118</v>
      </c>
      <c r="I13" s="2">
        <v>99</v>
      </c>
      <c r="J13" s="6" t="s">
        <v>119</v>
      </c>
      <c r="K13" s="2" t="s">
        <v>51</v>
      </c>
      <c r="L13" s="2" t="s">
        <v>100</v>
      </c>
      <c r="M13" s="2" t="s">
        <v>101</v>
      </c>
      <c r="N13" s="2" t="s">
        <v>102</v>
      </c>
      <c r="O13" s="2" t="s">
        <v>103</v>
      </c>
      <c r="P13" s="2" t="s">
        <v>104</v>
      </c>
      <c r="Q13" s="2" t="s">
        <v>57</v>
      </c>
      <c r="R13" s="2" t="s">
        <v>105</v>
      </c>
      <c r="S13" s="2" t="s">
        <v>94</v>
      </c>
      <c r="T13" s="2" t="s">
        <v>60</v>
      </c>
      <c r="U13" s="2" t="s">
        <v>96</v>
      </c>
      <c r="V13" s="2">
        <v>13</v>
      </c>
      <c r="W13" s="3" t="s">
        <v>61</v>
      </c>
      <c r="X13" s="3" t="s">
        <v>62</v>
      </c>
      <c r="Y13" s="2" t="s">
        <v>63</v>
      </c>
      <c r="Z13" s="3" t="s">
        <v>64</v>
      </c>
    </row>
    <row r="14" ht="27" spans="1:26">
      <c r="A14" s="2">
        <v>13</v>
      </c>
      <c r="B14" s="2" t="s">
        <v>43</v>
      </c>
      <c r="C14" s="2" t="s">
        <v>122</v>
      </c>
      <c r="D14" s="2" t="s">
        <v>123</v>
      </c>
      <c r="E14" s="2" t="s">
        <v>124</v>
      </c>
      <c r="F14" s="2" t="s">
        <v>47</v>
      </c>
      <c r="G14" s="2" t="s">
        <v>125</v>
      </c>
      <c r="H14" s="2" t="s">
        <v>118</v>
      </c>
      <c r="I14" s="2">
        <v>99</v>
      </c>
      <c r="J14" s="6" t="s">
        <v>119</v>
      </c>
      <c r="K14" s="2" t="s">
        <v>51</v>
      </c>
      <c r="L14" s="2" t="s">
        <v>89</v>
      </c>
      <c r="M14" s="2" t="s">
        <v>90</v>
      </c>
      <c r="N14" s="2" t="s">
        <v>69</v>
      </c>
      <c r="O14" s="2" t="s">
        <v>91</v>
      </c>
      <c r="P14" s="2" t="s">
        <v>92</v>
      </c>
      <c r="Q14" s="2" t="s">
        <v>57</v>
      </c>
      <c r="R14" s="2" t="s">
        <v>93</v>
      </c>
      <c r="S14" s="2" t="s">
        <v>94</v>
      </c>
      <c r="T14" s="2" t="s">
        <v>60</v>
      </c>
      <c r="U14" s="2" t="s">
        <v>96</v>
      </c>
      <c r="V14" s="2">
        <v>14</v>
      </c>
      <c r="W14" s="3" t="s">
        <v>61</v>
      </c>
      <c r="X14" s="3" t="s">
        <v>62</v>
      </c>
      <c r="Y14" s="2" t="s">
        <v>63</v>
      </c>
      <c r="Z14" s="3" t="s">
        <v>64</v>
      </c>
    </row>
    <row r="15" ht="40.5" spans="1:26">
      <c r="A15" s="2">
        <v>14</v>
      </c>
      <c r="B15" s="2" t="s">
        <v>43</v>
      </c>
      <c r="C15" s="2" t="s">
        <v>122</v>
      </c>
      <c r="D15" s="2" t="s">
        <v>126</v>
      </c>
      <c r="E15" s="2" t="s">
        <v>127</v>
      </c>
      <c r="F15" s="2" t="s">
        <v>99</v>
      </c>
      <c r="G15" s="2" t="s">
        <v>125</v>
      </c>
      <c r="H15" s="2" t="s">
        <v>118</v>
      </c>
      <c r="I15" s="2">
        <v>99</v>
      </c>
      <c r="J15" s="6" t="s">
        <v>119</v>
      </c>
      <c r="K15" s="2" t="s">
        <v>51</v>
      </c>
      <c r="L15" s="2" t="s">
        <v>100</v>
      </c>
      <c r="M15" s="2" t="s">
        <v>101</v>
      </c>
      <c r="N15" s="2" t="s">
        <v>102</v>
      </c>
      <c r="O15" s="2" t="s">
        <v>103</v>
      </c>
      <c r="P15" s="2" t="s">
        <v>104</v>
      </c>
      <c r="Q15" s="2" t="s">
        <v>57</v>
      </c>
      <c r="R15" s="2" t="s">
        <v>105</v>
      </c>
      <c r="S15" s="2" t="s">
        <v>94</v>
      </c>
      <c r="T15" s="2" t="s">
        <v>60</v>
      </c>
      <c r="U15" s="2" t="s">
        <v>96</v>
      </c>
      <c r="V15" s="2">
        <v>15</v>
      </c>
      <c r="W15" s="3" t="s">
        <v>61</v>
      </c>
      <c r="X15" s="3" t="s">
        <v>62</v>
      </c>
      <c r="Y15" s="2" t="s">
        <v>63</v>
      </c>
      <c r="Z15" s="3" t="s">
        <v>64</v>
      </c>
    </row>
    <row r="16" ht="27" spans="1:26">
      <c r="A16" s="2">
        <v>15</v>
      </c>
      <c r="B16" s="2" t="s">
        <v>43</v>
      </c>
      <c r="C16" s="2" t="s">
        <v>128</v>
      </c>
      <c r="D16" s="2" t="s">
        <v>129</v>
      </c>
      <c r="E16" s="2" t="s">
        <v>130</v>
      </c>
      <c r="F16" s="2" t="s">
        <v>47</v>
      </c>
      <c r="G16" s="2" t="s">
        <v>131</v>
      </c>
      <c r="H16" s="2" t="s">
        <v>118</v>
      </c>
      <c r="I16" s="2">
        <v>99</v>
      </c>
      <c r="J16" s="6" t="s">
        <v>119</v>
      </c>
      <c r="K16" s="2" t="s">
        <v>51</v>
      </c>
      <c r="L16" s="2" t="s">
        <v>89</v>
      </c>
      <c r="M16" s="2" t="s">
        <v>90</v>
      </c>
      <c r="N16" s="2" t="s">
        <v>69</v>
      </c>
      <c r="O16" s="2" t="s">
        <v>91</v>
      </c>
      <c r="P16" s="2" t="s">
        <v>92</v>
      </c>
      <c r="Q16" s="2" t="s">
        <v>57</v>
      </c>
      <c r="R16" s="2" t="s">
        <v>93</v>
      </c>
      <c r="S16" s="2" t="s">
        <v>94</v>
      </c>
      <c r="T16" s="2" t="s">
        <v>60</v>
      </c>
      <c r="U16" s="2" t="s">
        <v>96</v>
      </c>
      <c r="V16" s="2">
        <v>16</v>
      </c>
      <c r="W16" s="3" t="s">
        <v>61</v>
      </c>
      <c r="X16" s="3" t="s">
        <v>62</v>
      </c>
      <c r="Y16" s="2" t="s">
        <v>63</v>
      </c>
      <c r="Z16" s="3" t="s">
        <v>64</v>
      </c>
    </row>
    <row r="17" ht="40.5" spans="1:26">
      <c r="A17" s="2">
        <v>16</v>
      </c>
      <c r="B17" s="2" t="s">
        <v>43</v>
      </c>
      <c r="C17" s="2" t="s">
        <v>128</v>
      </c>
      <c r="D17" s="2" t="s">
        <v>132</v>
      </c>
      <c r="E17" s="2" t="s">
        <v>133</v>
      </c>
      <c r="F17" s="2" t="s">
        <v>99</v>
      </c>
      <c r="G17" s="2" t="s">
        <v>131</v>
      </c>
      <c r="H17" s="2" t="s">
        <v>118</v>
      </c>
      <c r="I17" s="2">
        <v>99</v>
      </c>
      <c r="J17" s="6" t="s">
        <v>119</v>
      </c>
      <c r="K17" s="2" t="s">
        <v>51</v>
      </c>
      <c r="L17" s="2" t="s">
        <v>100</v>
      </c>
      <c r="M17" s="2" t="s">
        <v>101</v>
      </c>
      <c r="N17" s="2" t="s">
        <v>102</v>
      </c>
      <c r="O17" s="2" t="s">
        <v>103</v>
      </c>
      <c r="P17" s="2" t="s">
        <v>104</v>
      </c>
      <c r="Q17" s="2" t="s">
        <v>57</v>
      </c>
      <c r="R17" s="2" t="s">
        <v>105</v>
      </c>
      <c r="S17" s="2" t="s">
        <v>94</v>
      </c>
      <c r="T17" s="2" t="s">
        <v>60</v>
      </c>
      <c r="U17" s="2" t="s">
        <v>96</v>
      </c>
      <c r="V17" s="2">
        <v>17</v>
      </c>
      <c r="W17" s="3" t="s">
        <v>61</v>
      </c>
      <c r="X17" s="3" t="s">
        <v>62</v>
      </c>
      <c r="Y17" s="2" t="s">
        <v>63</v>
      </c>
      <c r="Z17" s="3" t="s">
        <v>64</v>
      </c>
    </row>
    <row r="18" ht="27" spans="1:26">
      <c r="A18" s="2">
        <v>17</v>
      </c>
      <c r="B18" s="2" t="s">
        <v>43</v>
      </c>
      <c r="C18" s="2" t="s">
        <v>134</v>
      </c>
      <c r="D18" s="2" t="s">
        <v>135</v>
      </c>
      <c r="E18" s="2" t="s">
        <v>136</v>
      </c>
      <c r="F18" s="2" t="s">
        <v>67</v>
      </c>
      <c r="G18" s="2" t="s">
        <v>137</v>
      </c>
      <c r="H18" s="2" t="s">
        <v>49</v>
      </c>
      <c r="I18" s="2"/>
      <c r="J18" s="6" t="s">
        <v>138</v>
      </c>
      <c r="K18" s="2" t="s">
        <v>51</v>
      </c>
      <c r="L18" s="2" t="s">
        <v>52</v>
      </c>
      <c r="M18" s="2" t="s">
        <v>53</v>
      </c>
      <c r="N18" s="2" t="s">
        <v>69</v>
      </c>
      <c r="O18" s="2" t="s">
        <v>70</v>
      </c>
      <c r="P18" s="2" t="s">
        <v>71</v>
      </c>
      <c r="Q18" s="2" t="s">
        <v>72</v>
      </c>
      <c r="R18" s="2" t="s">
        <v>58</v>
      </c>
      <c r="S18" s="2" t="s">
        <v>73</v>
      </c>
      <c r="T18" s="2" t="s">
        <v>60</v>
      </c>
      <c r="U18" s="2" t="s">
        <v>60</v>
      </c>
      <c r="V18" s="2">
        <v>18</v>
      </c>
      <c r="W18" s="3" t="s">
        <v>61</v>
      </c>
      <c r="X18" s="3" t="s">
        <v>62</v>
      </c>
      <c r="Y18" s="2" t="s">
        <v>63</v>
      </c>
      <c r="Z18" s="3" t="s">
        <v>64</v>
      </c>
    </row>
    <row r="19" ht="27" spans="1:26">
      <c r="A19" s="2">
        <v>18</v>
      </c>
      <c r="B19" s="2" t="s">
        <v>43</v>
      </c>
      <c r="C19" s="2" t="s">
        <v>134</v>
      </c>
      <c r="D19" s="2" t="s">
        <v>139</v>
      </c>
      <c r="E19" s="2" t="s">
        <v>140</v>
      </c>
      <c r="F19" s="2" t="s">
        <v>67</v>
      </c>
      <c r="G19" s="2" t="s">
        <v>137</v>
      </c>
      <c r="H19" s="2" t="s">
        <v>49</v>
      </c>
      <c r="I19" s="2"/>
      <c r="J19" s="6" t="s">
        <v>138</v>
      </c>
      <c r="K19" s="2" t="s">
        <v>51</v>
      </c>
      <c r="L19" s="2" t="s">
        <v>52</v>
      </c>
      <c r="M19" s="2" t="s">
        <v>53</v>
      </c>
      <c r="N19" s="2" t="s">
        <v>69</v>
      </c>
      <c r="O19" s="2" t="s">
        <v>70</v>
      </c>
      <c r="P19" s="2" t="s">
        <v>71</v>
      </c>
      <c r="Q19" s="2" t="s">
        <v>72</v>
      </c>
      <c r="R19" s="2" t="s">
        <v>58</v>
      </c>
      <c r="S19" s="2" t="s">
        <v>73</v>
      </c>
      <c r="T19" s="2" t="s">
        <v>60</v>
      </c>
      <c r="U19" s="2" t="s">
        <v>60</v>
      </c>
      <c r="V19" s="2">
        <v>19</v>
      </c>
      <c r="W19" s="3" t="s">
        <v>61</v>
      </c>
      <c r="X19" s="3" t="s">
        <v>62</v>
      </c>
      <c r="Y19" s="2" t="s">
        <v>63</v>
      </c>
      <c r="Z19" s="3" t="s">
        <v>64</v>
      </c>
    </row>
    <row r="20" ht="27" spans="1:26">
      <c r="A20" s="2">
        <v>19</v>
      </c>
      <c r="B20" s="2" t="s">
        <v>43</v>
      </c>
      <c r="C20" s="2" t="s">
        <v>134</v>
      </c>
      <c r="D20" s="2" t="s">
        <v>141</v>
      </c>
      <c r="E20" s="2" t="s">
        <v>142</v>
      </c>
      <c r="F20" s="2" t="s">
        <v>67</v>
      </c>
      <c r="G20" s="2" t="s">
        <v>137</v>
      </c>
      <c r="H20" s="2" t="s">
        <v>49</v>
      </c>
      <c r="I20" s="2"/>
      <c r="J20" s="6" t="s">
        <v>138</v>
      </c>
      <c r="K20" s="2" t="s">
        <v>51</v>
      </c>
      <c r="L20" s="2" t="s">
        <v>52</v>
      </c>
      <c r="M20" s="2" t="s">
        <v>53</v>
      </c>
      <c r="N20" s="2" t="s">
        <v>69</v>
      </c>
      <c r="O20" s="2" t="s">
        <v>70</v>
      </c>
      <c r="P20" s="2" t="s">
        <v>71</v>
      </c>
      <c r="Q20" s="2" t="s">
        <v>72</v>
      </c>
      <c r="R20" s="2" t="s">
        <v>58</v>
      </c>
      <c r="S20" s="2" t="s">
        <v>73</v>
      </c>
      <c r="T20" s="2" t="s">
        <v>60</v>
      </c>
      <c r="U20" s="2" t="s">
        <v>60</v>
      </c>
      <c r="V20" s="2">
        <v>20</v>
      </c>
      <c r="W20" s="3" t="s">
        <v>61</v>
      </c>
      <c r="X20" s="3" t="s">
        <v>62</v>
      </c>
      <c r="Y20" s="2" t="s">
        <v>63</v>
      </c>
      <c r="Z20" s="3" t="s">
        <v>64</v>
      </c>
    </row>
    <row r="21" ht="27" spans="1:26">
      <c r="A21" s="2">
        <v>20</v>
      </c>
      <c r="B21" s="2" t="s">
        <v>43</v>
      </c>
      <c r="C21" s="2" t="s">
        <v>134</v>
      </c>
      <c r="D21" s="2" t="s">
        <v>143</v>
      </c>
      <c r="E21" s="2" t="s">
        <v>144</v>
      </c>
      <c r="F21" s="2" t="s">
        <v>47</v>
      </c>
      <c r="G21" s="2" t="s">
        <v>137</v>
      </c>
      <c r="H21" s="2" t="s">
        <v>49</v>
      </c>
      <c r="I21" s="2"/>
      <c r="J21" s="6" t="s">
        <v>138</v>
      </c>
      <c r="K21" s="2" t="s">
        <v>51</v>
      </c>
      <c r="L21" s="2" t="s">
        <v>89</v>
      </c>
      <c r="M21" s="2" t="s">
        <v>90</v>
      </c>
      <c r="N21" s="2" t="s">
        <v>69</v>
      </c>
      <c r="O21" s="2" t="s">
        <v>91</v>
      </c>
      <c r="P21" s="2" t="s">
        <v>92</v>
      </c>
      <c r="Q21" s="2" t="s">
        <v>57</v>
      </c>
      <c r="R21" s="2" t="s">
        <v>93</v>
      </c>
      <c r="S21" s="2" t="s">
        <v>94</v>
      </c>
      <c r="T21" s="2" t="s">
        <v>60</v>
      </c>
      <c r="U21" s="2" t="s">
        <v>60</v>
      </c>
      <c r="V21" s="2">
        <v>21</v>
      </c>
      <c r="W21" s="3" t="s">
        <v>61</v>
      </c>
      <c r="X21" s="3" t="s">
        <v>62</v>
      </c>
      <c r="Y21" s="2" t="s">
        <v>63</v>
      </c>
      <c r="Z21" s="3" t="s">
        <v>64</v>
      </c>
    </row>
    <row r="22" ht="40.5" spans="1:26">
      <c r="A22" s="2">
        <v>21</v>
      </c>
      <c r="B22" s="2" t="s">
        <v>43</v>
      </c>
      <c r="C22" s="2" t="s">
        <v>134</v>
      </c>
      <c r="D22" s="2" t="s">
        <v>145</v>
      </c>
      <c r="E22" s="2" t="s">
        <v>146</v>
      </c>
      <c r="F22" s="2" t="s">
        <v>99</v>
      </c>
      <c r="G22" s="2" t="s">
        <v>137</v>
      </c>
      <c r="H22" s="2" t="s">
        <v>49</v>
      </c>
      <c r="I22" s="2"/>
      <c r="J22" s="6" t="s">
        <v>138</v>
      </c>
      <c r="K22" s="2" t="s">
        <v>51</v>
      </c>
      <c r="L22" s="2" t="s">
        <v>100</v>
      </c>
      <c r="M22" s="2" t="s">
        <v>101</v>
      </c>
      <c r="N22" s="2" t="s">
        <v>102</v>
      </c>
      <c r="O22" s="2" t="s">
        <v>103</v>
      </c>
      <c r="P22" s="2" t="s">
        <v>104</v>
      </c>
      <c r="Q22" s="2" t="s">
        <v>57</v>
      </c>
      <c r="R22" s="2" t="s">
        <v>105</v>
      </c>
      <c r="S22" s="2" t="s">
        <v>94</v>
      </c>
      <c r="T22" s="2" t="s">
        <v>60</v>
      </c>
      <c r="U22" s="2" t="s">
        <v>60</v>
      </c>
      <c r="V22" s="2">
        <v>22</v>
      </c>
      <c r="W22" s="3" t="s">
        <v>61</v>
      </c>
      <c r="X22" s="3" t="s">
        <v>62</v>
      </c>
      <c r="Y22" s="2" t="s">
        <v>63</v>
      </c>
      <c r="Z22" s="3" t="s">
        <v>64</v>
      </c>
    </row>
    <row r="23" ht="27" spans="1:26">
      <c r="A23" s="2">
        <v>22</v>
      </c>
      <c r="B23" s="2" t="s">
        <v>147</v>
      </c>
      <c r="C23" s="2" t="s">
        <v>148</v>
      </c>
      <c r="D23" s="2" t="s">
        <v>149</v>
      </c>
      <c r="E23" s="2" t="s">
        <v>150</v>
      </c>
      <c r="F23" s="2" t="s">
        <v>151</v>
      </c>
      <c r="G23" s="2" t="s">
        <v>152</v>
      </c>
      <c r="H23" s="2" t="s">
        <v>80</v>
      </c>
      <c r="I23" s="2">
        <v>99</v>
      </c>
      <c r="J23" s="8" t="s">
        <v>50</v>
      </c>
      <c r="K23" s="2" t="s">
        <v>153</v>
      </c>
      <c r="L23" s="2" t="s">
        <v>154</v>
      </c>
      <c r="M23" s="2" t="s">
        <v>155</v>
      </c>
      <c r="N23" s="2" t="s">
        <v>156</v>
      </c>
      <c r="O23" s="2" t="s">
        <v>70</v>
      </c>
      <c r="P23" s="2" t="s">
        <v>71</v>
      </c>
      <c r="Q23" s="2" t="s">
        <v>72</v>
      </c>
      <c r="R23" s="2" t="s">
        <v>157</v>
      </c>
      <c r="S23" s="2" t="s">
        <v>94</v>
      </c>
      <c r="T23" s="2" t="s">
        <v>82</v>
      </c>
      <c r="U23" s="2" t="s">
        <v>60</v>
      </c>
      <c r="V23" s="2">
        <v>24</v>
      </c>
      <c r="W23" s="3" t="s">
        <v>158</v>
      </c>
      <c r="X23" s="3" t="s">
        <v>62</v>
      </c>
      <c r="Y23" s="2" t="s">
        <v>159</v>
      </c>
      <c r="Z23" s="3" t="s">
        <v>64</v>
      </c>
    </row>
    <row r="24" ht="27" spans="1:26">
      <c r="A24" s="2">
        <v>23</v>
      </c>
      <c r="B24" s="2" t="s">
        <v>147</v>
      </c>
      <c r="C24" s="2" t="s">
        <v>148</v>
      </c>
      <c r="D24" s="2" t="s">
        <v>45</v>
      </c>
      <c r="E24" s="2" t="s">
        <v>160</v>
      </c>
      <c r="F24" s="2" t="s">
        <v>151</v>
      </c>
      <c r="G24" s="2" t="s">
        <v>152</v>
      </c>
      <c r="H24" s="2" t="s">
        <v>80</v>
      </c>
      <c r="I24" s="2">
        <v>99</v>
      </c>
      <c r="J24" s="8" t="s">
        <v>50</v>
      </c>
      <c r="K24" s="2" t="s">
        <v>153</v>
      </c>
      <c r="L24" s="2" t="s">
        <v>154</v>
      </c>
      <c r="M24" s="2" t="s">
        <v>155</v>
      </c>
      <c r="N24" s="2" t="s">
        <v>161</v>
      </c>
      <c r="O24" s="2" t="s">
        <v>70</v>
      </c>
      <c r="P24" s="2" t="s">
        <v>71</v>
      </c>
      <c r="Q24" s="2" t="s">
        <v>72</v>
      </c>
      <c r="R24" s="2" t="s">
        <v>157</v>
      </c>
      <c r="S24" s="2" t="s">
        <v>59</v>
      </c>
      <c r="T24" s="2" t="s">
        <v>82</v>
      </c>
      <c r="U24" s="2" t="s">
        <v>60</v>
      </c>
      <c r="V24" s="2">
        <v>25</v>
      </c>
      <c r="W24" s="3" t="s">
        <v>158</v>
      </c>
      <c r="X24" s="3" t="s">
        <v>62</v>
      </c>
      <c r="Y24" s="2" t="s">
        <v>159</v>
      </c>
      <c r="Z24" s="3" t="s">
        <v>64</v>
      </c>
    </row>
    <row r="25" ht="27" spans="1:26">
      <c r="A25" s="2">
        <v>24</v>
      </c>
      <c r="B25" s="2" t="s">
        <v>147</v>
      </c>
      <c r="C25" s="2" t="s">
        <v>148</v>
      </c>
      <c r="D25" s="2" t="s">
        <v>162</v>
      </c>
      <c r="E25" s="2" t="s">
        <v>163</v>
      </c>
      <c r="F25" s="2" t="s">
        <v>151</v>
      </c>
      <c r="G25" s="2" t="s">
        <v>152</v>
      </c>
      <c r="H25" s="2" t="s">
        <v>80</v>
      </c>
      <c r="I25" s="2">
        <v>99</v>
      </c>
      <c r="J25" s="8" t="s">
        <v>50</v>
      </c>
      <c r="K25" s="2" t="s">
        <v>153</v>
      </c>
      <c r="L25" s="2" t="s">
        <v>154</v>
      </c>
      <c r="M25" s="2" t="s">
        <v>155</v>
      </c>
      <c r="N25" s="2" t="s">
        <v>164</v>
      </c>
      <c r="O25" s="2" t="s">
        <v>70</v>
      </c>
      <c r="P25" s="2" t="s">
        <v>71</v>
      </c>
      <c r="Q25" s="2" t="s">
        <v>72</v>
      </c>
      <c r="R25" s="2" t="s">
        <v>157</v>
      </c>
      <c r="S25" s="2" t="s">
        <v>94</v>
      </c>
      <c r="T25" s="2" t="s">
        <v>82</v>
      </c>
      <c r="U25" s="2" t="s">
        <v>60</v>
      </c>
      <c r="V25" s="2">
        <v>26</v>
      </c>
      <c r="W25" s="3" t="s">
        <v>158</v>
      </c>
      <c r="X25" s="3" t="s">
        <v>62</v>
      </c>
      <c r="Y25" s="2" t="s">
        <v>159</v>
      </c>
      <c r="Z25" s="3" t="s">
        <v>64</v>
      </c>
    </row>
    <row r="26" ht="27" spans="1:26">
      <c r="A26" s="2">
        <v>25</v>
      </c>
      <c r="B26" s="2" t="s">
        <v>147</v>
      </c>
      <c r="C26" s="2" t="s">
        <v>148</v>
      </c>
      <c r="D26" s="2" t="s">
        <v>165</v>
      </c>
      <c r="E26" s="2" t="s">
        <v>166</v>
      </c>
      <c r="F26" s="2" t="s">
        <v>151</v>
      </c>
      <c r="G26" s="2" t="s">
        <v>152</v>
      </c>
      <c r="H26" s="2" t="s">
        <v>80</v>
      </c>
      <c r="I26" s="2">
        <v>99</v>
      </c>
      <c r="J26" s="8" t="s">
        <v>50</v>
      </c>
      <c r="K26" s="2" t="s">
        <v>153</v>
      </c>
      <c r="L26" s="2" t="s">
        <v>154</v>
      </c>
      <c r="M26" s="2" t="s">
        <v>155</v>
      </c>
      <c r="N26" s="2" t="s">
        <v>164</v>
      </c>
      <c r="O26" s="2" t="s">
        <v>70</v>
      </c>
      <c r="P26" s="2" t="s">
        <v>71</v>
      </c>
      <c r="Q26" s="2" t="s">
        <v>72</v>
      </c>
      <c r="R26" s="2" t="s">
        <v>157</v>
      </c>
      <c r="S26" s="2" t="s">
        <v>94</v>
      </c>
      <c r="T26" s="2" t="s">
        <v>82</v>
      </c>
      <c r="U26" s="2" t="s">
        <v>60</v>
      </c>
      <c r="V26" s="2">
        <v>27</v>
      </c>
      <c r="W26" s="3" t="s">
        <v>158</v>
      </c>
      <c r="X26" s="3" t="s">
        <v>62</v>
      </c>
      <c r="Y26" s="2" t="s">
        <v>159</v>
      </c>
      <c r="Z26" s="3" t="s">
        <v>64</v>
      </c>
    </row>
    <row r="27" ht="27" spans="1:26">
      <c r="A27" s="2">
        <v>26</v>
      </c>
      <c r="B27" s="2" t="s">
        <v>147</v>
      </c>
      <c r="C27" s="2" t="s">
        <v>148</v>
      </c>
      <c r="D27" s="2" t="s">
        <v>167</v>
      </c>
      <c r="E27" s="2" t="s">
        <v>168</v>
      </c>
      <c r="F27" s="2" t="s">
        <v>151</v>
      </c>
      <c r="G27" s="2" t="s">
        <v>152</v>
      </c>
      <c r="H27" s="2" t="s">
        <v>80</v>
      </c>
      <c r="I27" s="2">
        <v>99</v>
      </c>
      <c r="J27" s="8" t="s">
        <v>50</v>
      </c>
      <c r="K27" s="2" t="s">
        <v>153</v>
      </c>
      <c r="L27" s="2" t="s">
        <v>154</v>
      </c>
      <c r="M27" s="2" t="s">
        <v>155</v>
      </c>
      <c r="N27" s="2" t="s">
        <v>164</v>
      </c>
      <c r="O27" s="2" t="s">
        <v>70</v>
      </c>
      <c r="P27" s="2" t="s">
        <v>71</v>
      </c>
      <c r="Q27" s="2" t="s">
        <v>72</v>
      </c>
      <c r="R27" s="2" t="s">
        <v>157</v>
      </c>
      <c r="S27" s="2" t="s">
        <v>94</v>
      </c>
      <c r="T27" s="2" t="s">
        <v>82</v>
      </c>
      <c r="U27" s="2" t="s">
        <v>60</v>
      </c>
      <c r="V27" s="2">
        <v>28</v>
      </c>
      <c r="W27" s="3" t="s">
        <v>158</v>
      </c>
      <c r="X27" s="3" t="s">
        <v>62</v>
      </c>
      <c r="Y27" s="2" t="s">
        <v>159</v>
      </c>
      <c r="Z27" s="3" t="s">
        <v>64</v>
      </c>
    </row>
    <row r="28" ht="27" spans="1:26">
      <c r="A28" s="2">
        <v>27</v>
      </c>
      <c r="B28" s="2" t="s">
        <v>147</v>
      </c>
      <c r="C28" s="2" t="s">
        <v>148</v>
      </c>
      <c r="D28" s="2" t="s">
        <v>169</v>
      </c>
      <c r="E28" s="2" t="s">
        <v>170</v>
      </c>
      <c r="F28" s="2" t="s">
        <v>151</v>
      </c>
      <c r="G28" s="2" t="s">
        <v>152</v>
      </c>
      <c r="H28" s="2" t="s">
        <v>80</v>
      </c>
      <c r="I28" s="2">
        <v>99</v>
      </c>
      <c r="J28" s="8" t="s">
        <v>50</v>
      </c>
      <c r="K28" s="2" t="s">
        <v>153</v>
      </c>
      <c r="L28" s="2" t="s">
        <v>154</v>
      </c>
      <c r="M28" s="2" t="s">
        <v>155</v>
      </c>
      <c r="N28" s="2" t="s">
        <v>164</v>
      </c>
      <c r="O28" s="2" t="s">
        <v>70</v>
      </c>
      <c r="P28" s="2" t="s">
        <v>71</v>
      </c>
      <c r="Q28" s="2" t="s">
        <v>72</v>
      </c>
      <c r="R28" s="2" t="s">
        <v>157</v>
      </c>
      <c r="S28" s="2" t="s">
        <v>94</v>
      </c>
      <c r="T28" s="2" t="s">
        <v>82</v>
      </c>
      <c r="U28" s="2" t="s">
        <v>60</v>
      </c>
      <c r="V28" s="2">
        <v>29</v>
      </c>
      <c r="W28" s="3" t="s">
        <v>158</v>
      </c>
      <c r="X28" s="3" t="s">
        <v>62</v>
      </c>
      <c r="Y28" s="2" t="s">
        <v>159</v>
      </c>
      <c r="Z28" s="3" t="s">
        <v>64</v>
      </c>
    </row>
    <row r="29" ht="27" spans="1:26">
      <c r="A29" s="2">
        <v>28</v>
      </c>
      <c r="B29" s="2" t="s">
        <v>147</v>
      </c>
      <c r="C29" s="2" t="s">
        <v>148</v>
      </c>
      <c r="D29" s="2" t="s">
        <v>171</v>
      </c>
      <c r="E29" s="2" t="s">
        <v>172</v>
      </c>
      <c r="F29" s="2" t="s">
        <v>151</v>
      </c>
      <c r="G29" s="2" t="s">
        <v>152</v>
      </c>
      <c r="H29" s="2" t="s">
        <v>80</v>
      </c>
      <c r="I29" s="2">
        <v>99</v>
      </c>
      <c r="J29" s="8" t="s">
        <v>50</v>
      </c>
      <c r="K29" s="2" t="s">
        <v>153</v>
      </c>
      <c r="L29" s="2" t="s">
        <v>154</v>
      </c>
      <c r="M29" s="2" t="s">
        <v>155</v>
      </c>
      <c r="N29" s="2" t="s">
        <v>164</v>
      </c>
      <c r="O29" s="2" t="s">
        <v>70</v>
      </c>
      <c r="P29" s="2" t="s">
        <v>71</v>
      </c>
      <c r="Q29" s="2" t="s">
        <v>72</v>
      </c>
      <c r="R29" s="2" t="s">
        <v>157</v>
      </c>
      <c r="S29" s="2" t="s">
        <v>94</v>
      </c>
      <c r="T29" s="2" t="s">
        <v>82</v>
      </c>
      <c r="U29" s="2" t="s">
        <v>60</v>
      </c>
      <c r="V29" s="2">
        <v>30</v>
      </c>
      <c r="W29" s="3" t="s">
        <v>158</v>
      </c>
      <c r="X29" s="3" t="s">
        <v>62</v>
      </c>
      <c r="Y29" s="2" t="s">
        <v>159</v>
      </c>
      <c r="Z29" s="3" t="s">
        <v>64</v>
      </c>
    </row>
    <row r="30" ht="27" spans="1:26">
      <c r="A30" s="2">
        <v>29</v>
      </c>
      <c r="B30" s="2" t="s">
        <v>147</v>
      </c>
      <c r="C30" s="2" t="s">
        <v>148</v>
      </c>
      <c r="D30" s="2" t="s">
        <v>173</v>
      </c>
      <c r="E30" s="2" t="s">
        <v>174</v>
      </c>
      <c r="F30" s="2" t="s">
        <v>151</v>
      </c>
      <c r="G30" s="2" t="s">
        <v>152</v>
      </c>
      <c r="H30" s="2" t="s">
        <v>80</v>
      </c>
      <c r="I30" s="2">
        <v>99</v>
      </c>
      <c r="J30" s="8" t="s">
        <v>50</v>
      </c>
      <c r="K30" s="2" t="s">
        <v>153</v>
      </c>
      <c r="L30" s="2" t="s">
        <v>154</v>
      </c>
      <c r="M30" s="2" t="s">
        <v>155</v>
      </c>
      <c r="N30" s="2" t="s">
        <v>164</v>
      </c>
      <c r="O30" s="2" t="s">
        <v>70</v>
      </c>
      <c r="P30" s="2" t="s">
        <v>71</v>
      </c>
      <c r="Q30" s="2" t="s">
        <v>72</v>
      </c>
      <c r="R30" s="2" t="s">
        <v>157</v>
      </c>
      <c r="S30" s="2" t="s">
        <v>94</v>
      </c>
      <c r="T30" s="2" t="s">
        <v>82</v>
      </c>
      <c r="U30" s="2" t="s">
        <v>60</v>
      </c>
      <c r="V30" s="2">
        <v>31</v>
      </c>
      <c r="W30" s="3" t="s">
        <v>158</v>
      </c>
      <c r="X30" s="3" t="s">
        <v>62</v>
      </c>
      <c r="Y30" s="2" t="s">
        <v>159</v>
      </c>
      <c r="Z30" s="3" t="s">
        <v>64</v>
      </c>
    </row>
    <row r="31" ht="40.5" spans="1:26">
      <c r="A31" s="2">
        <v>30</v>
      </c>
      <c r="B31" s="2" t="s">
        <v>147</v>
      </c>
      <c r="C31" s="2" t="s">
        <v>148</v>
      </c>
      <c r="D31" s="2" t="s">
        <v>175</v>
      </c>
      <c r="E31" s="2" t="s">
        <v>176</v>
      </c>
      <c r="F31" s="2" t="s">
        <v>151</v>
      </c>
      <c r="G31" s="2" t="s">
        <v>152</v>
      </c>
      <c r="H31" s="2" t="s">
        <v>80</v>
      </c>
      <c r="I31" s="2">
        <v>99</v>
      </c>
      <c r="J31" s="8" t="s">
        <v>50</v>
      </c>
      <c r="K31" s="2" t="s">
        <v>177</v>
      </c>
      <c r="L31" s="2" t="s">
        <v>154</v>
      </c>
      <c r="M31" s="2" t="s">
        <v>155</v>
      </c>
      <c r="N31" s="2" t="s">
        <v>164</v>
      </c>
      <c r="O31" s="2" t="s">
        <v>55</v>
      </c>
      <c r="P31" s="2" t="s">
        <v>56</v>
      </c>
      <c r="Q31" s="2" t="s">
        <v>57</v>
      </c>
      <c r="R31" s="2" t="s">
        <v>178</v>
      </c>
      <c r="S31" s="2" t="s">
        <v>59</v>
      </c>
      <c r="T31" s="2" t="s">
        <v>82</v>
      </c>
      <c r="U31" s="2" t="s">
        <v>60</v>
      </c>
      <c r="V31" s="2">
        <v>32</v>
      </c>
      <c r="W31" s="3" t="s">
        <v>158</v>
      </c>
      <c r="X31" s="3" t="s">
        <v>62</v>
      </c>
      <c r="Y31" s="2" t="s">
        <v>179</v>
      </c>
      <c r="Z31" s="3" t="s">
        <v>64</v>
      </c>
    </row>
    <row r="32" ht="27" spans="1:26">
      <c r="A32" s="2">
        <v>31</v>
      </c>
      <c r="B32" s="2" t="s">
        <v>147</v>
      </c>
      <c r="C32" s="2" t="s">
        <v>180</v>
      </c>
      <c r="D32" s="2" t="s">
        <v>181</v>
      </c>
      <c r="E32" s="2" t="s">
        <v>182</v>
      </c>
      <c r="F32" s="2" t="s">
        <v>151</v>
      </c>
      <c r="G32" s="2" t="s">
        <v>152</v>
      </c>
      <c r="H32" s="2" t="s">
        <v>108</v>
      </c>
      <c r="I32" s="2"/>
      <c r="J32" s="6" t="s">
        <v>109</v>
      </c>
      <c r="K32" s="2" t="s">
        <v>153</v>
      </c>
      <c r="L32" s="2" t="s">
        <v>183</v>
      </c>
      <c r="M32" s="2" t="s">
        <v>184</v>
      </c>
      <c r="N32" s="2" t="s">
        <v>185</v>
      </c>
      <c r="O32" s="2" t="s">
        <v>70</v>
      </c>
      <c r="P32" s="2" t="s">
        <v>71</v>
      </c>
      <c r="Q32" s="2" t="s">
        <v>72</v>
      </c>
      <c r="R32" s="2" t="s">
        <v>157</v>
      </c>
      <c r="S32" s="2" t="s">
        <v>73</v>
      </c>
      <c r="T32" s="2" t="s">
        <v>60</v>
      </c>
      <c r="U32" s="2" t="s">
        <v>60</v>
      </c>
      <c r="V32" s="2">
        <v>33</v>
      </c>
      <c r="W32" s="3" t="s">
        <v>158</v>
      </c>
      <c r="X32" s="3" t="s">
        <v>62</v>
      </c>
      <c r="Y32" s="2" t="s">
        <v>159</v>
      </c>
      <c r="Z32" s="3" t="s">
        <v>64</v>
      </c>
    </row>
    <row r="33" ht="27" spans="1:26">
      <c r="A33" s="2">
        <v>32</v>
      </c>
      <c r="B33" s="2" t="s">
        <v>147</v>
      </c>
      <c r="C33" s="2" t="s">
        <v>180</v>
      </c>
      <c r="D33" s="2" t="s">
        <v>186</v>
      </c>
      <c r="E33" s="2" t="s">
        <v>187</v>
      </c>
      <c r="F33" s="2" t="s">
        <v>151</v>
      </c>
      <c r="G33" s="2" t="s">
        <v>152</v>
      </c>
      <c r="H33" s="2" t="s">
        <v>108</v>
      </c>
      <c r="I33" s="2"/>
      <c r="J33" s="6" t="s">
        <v>109</v>
      </c>
      <c r="K33" s="2" t="s">
        <v>153</v>
      </c>
      <c r="L33" s="2" t="s">
        <v>183</v>
      </c>
      <c r="M33" s="2" t="s">
        <v>184</v>
      </c>
      <c r="N33" s="2" t="s">
        <v>185</v>
      </c>
      <c r="O33" s="2" t="s">
        <v>70</v>
      </c>
      <c r="P33" s="2" t="s">
        <v>71</v>
      </c>
      <c r="Q33" s="2" t="s">
        <v>72</v>
      </c>
      <c r="R33" s="2" t="s">
        <v>157</v>
      </c>
      <c r="S33" s="2" t="s">
        <v>73</v>
      </c>
      <c r="T33" s="2" t="s">
        <v>60</v>
      </c>
      <c r="U33" s="2" t="s">
        <v>60</v>
      </c>
      <c r="V33" s="2">
        <v>34</v>
      </c>
      <c r="W33" s="3" t="s">
        <v>158</v>
      </c>
      <c r="X33" s="3" t="s">
        <v>62</v>
      </c>
      <c r="Y33" s="2" t="s">
        <v>159</v>
      </c>
      <c r="Z33" s="3" t="s">
        <v>64</v>
      </c>
    </row>
    <row r="34" ht="27" spans="1:26">
      <c r="A34" s="2">
        <v>33</v>
      </c>
      <c r="B34" s="2" t="s">
        <v>147</v>
      </c>
      <c r="C34" s="2" t="s">
        <v>180</v>
      </c>
      <c r="D34" s="2" t="s">
        <v>188</v>
      </c>
      <c r="E34" s="2" t="s">
        <v>189</v>
      </c>
      <c r="F34" s="2" t="s">
        <v>151</v>
      </c>
      <c r="G34" s="2" t="s">
        <v>152</v>
      </c>
      <c r="H34" s="2" t="s">
        <v>108</v>
      </c>
      <c r="I34" s="2"/>
      <c r="J34" s="6" t="s">
        <v>109</v>
      </c>
      <c r="K34" s="2" t="s">
        <v>153</v>
      </c>
      <c r="L34" s="2" t="s">
        <v>183</v>
      </c>
      <c r="M34" s="2" t="s">
        <v>184</v>
      </c>
      <c r="N34" s="2" t="s">
        <v>185</v>
      </c>
      <c r="O34" s="2" t="s">
        <v>70</v>
      </c>
      <c r="P34" s="2" t="s">
        <v>71</v>
      </c>
      <c r="Q34" s="2" t="s">
        <v>72</v>
      </c>
      <c r="R34" s="2" t="s">
        <v>157</v>
      </c>
      <c r="S34" s="2" t="s">
        <v>73</v>
      </c>
      <c r="T34" s="2" t="s">
        <v>60</v>
      </c>
      <c r="U34" s="2" t="s">
        <v>60</v>
      </c>
      <c r="V34" s="2">
        <v>35</v>
      </c>
      <c r="W34" s="3" t="s">
        <v>158</v>
      </c>
      <c r="X34" s="3" t="s">
        <v>62</v>
      </c>
      <c r="Y34" s="2" t="s">
        <v>159</v>
      </c>
      <c r="Z34" s="3" t="s">
        <v>64</v>
      </c>
    </row>
    <row r="35" ht="27" spans="1:26">
      <c r="A35" s="2">
        <v>34</v>
      </c>
      <c r="B35" s="2" t="s">
        <v>147</v>
      </c>
      <c r="C35" s="2" t="s">
        <v>180</v>
      </c>
      <c r="D35" s="2" t="s">
        <v>190</v>
      </c>
      <c r="E35" s="2" t="s">
        <v>191</v>
      </c>
      <c r="F35" s="2" t="s">
        <v>151</v>
      </c>
      <c r="G35" s="2" t="s">
        <v>152</v>
      </c>
      <c r="H35" s="2" t="s">
        <v>108</v>
      </c>
      <c r="I35" s="2"/>
      <c r="J35" s="6" t="s">
        <v>109</v>
      </c>
      <c r="K35" s="2" t="s">
        <v>153</v>
      </c>
      <c r="L35" s="2" t="s">
        <v>183</v>
      </c>
      <c r="M35" s="2" t="s">
        <v>184</v>
      </c>
      <c r="N35" s="2" t="s">
        <v>185</v>
      </c>
      <c r="O35" s="2" t="s">
        <v>70</v>
      </c>
      <c r="P35" s="2" t="s">
        <v>71</v>
      </c>
      <c r="Q35" s="2" t="s">
        <v>72</v>
      </c>
      <c r="R35" s="2" t="s">
        <v>157</v>
      </c>
      <c r="S35" s="2" t="s">
        <v>73</v>
      </c>
      <c r="T35" s="2" t="s">
        <v>60</v>
      </c>
      <c r="U35" s="2" t="s">
        <v>60</v>
      </c>
      <c r="V35" s="2">
        <v>36</v>
      </c>
      <c r="W35" s="3" t="s">
        <v>158</v>
      </c>
      <c r="X35" s="3" t="s">
        <v>62</v>
      </c>
      <c r="Y35" s="2" t="s">
        <v>159</v>
      </c>
      <c r="Z35" s="3" t="s">
        <v>64</v>
      </c>
    </row>
    <row r="36" ht="27" spans="1:26">
      <c r="A36" s="2">
        <v>35</v>
      </c>
      <c r="B36" s="2" t="s">
        <v>147</v>
      </c>
      <c r="C36" s="2" t="s">
        <v>180</v>
      </c>
      <c r="D36" s="2" t="s">
        <v>192</v>
      </c>
      <c r="E36" s="2" t="s">
        <v>193</v>
      </c>
      <c r="F36" s="2" t="s">
        <v>151</v>
      </c>
      <c r="G36" s="2" t="s">
        <v>152</v>
      </c>
      <c r="H36" s="2" t="s">
        <v>108</v>
      </c>
      <c r="I36" s="2"/>
      <c r="J36" s="6" t="s">
        <v>109</v>
      </c>
      <c r="K36" s="2" t="s">
        <v>153</v>
      </c>
      <c r="L36" s="2" t="s">
        <v>183</v>
      </c>
      <c r="M36" s="2" t="s">
        <v>184</v>
      </c>
      <c r="N36" s="2" t="s">
        <v>185</v>
      </c>
      <c r="O36" s="2" t="s">
        <v>70</v>
      </c>
      <c r="P36" s="2" t="s">
        <v>71</v>
      </c>
      <c r="Q36" s="2" t="s">
        <v>72</v>
      </c>
      <c r="R36" s="2" t="s">
        <v>157</v>
      </c>
      <c r="S36" s="2" t="s">
        <v>73</v>
      </c>
      <c r="T36" s="2" t="s">
        <v>60</v>
      </c>
      <c r="U36" s="2" t="s">
        <v>60</v>
      </c>
      <c r="V36" s="2">
        <v>37</v>
      </c>
      <c r="W36" s="3" t="s">
        <v>158</v>
      </c>
      <c r="X36" s="3" t="s">
        <v>62</v>
      </c>
      <c r="Y36" s="2" t="s">
        <v>159</v>
      </c>
      <c r="Z36" s="3" t="s">
        <v>64</v>
      </c>
    </row>
    <row r="37" ht="27" spans="1:26">
      <c r="A37" s="2">
        <v>36</v>
      </c>
      <c r="B37" s="2" t="s">
        <v>147</v>
      </c>
      <c r="C37" s="2" t="s">
        <v>180</v>
      </c>
      <c r="D37" s="2" t="s">
        <v>194</v>
      </c>
      <c r="E37" s="2" t="s">
        <v>195</v>
      </c>
      <c r="F37" s="2" t="s">
        <v>151</v>
      </c>
      <c r="G37" s="2" t="s">
        <v>152</v>
      </c>
      <c r="H37" s="2" t="s">
        <v>108</v>
      </c>
      <c r="I37" s="2"/>
      <c r="J37" s="6" t="s">
        <v>109</v>
      </c>
      <c r="K37" s="2" t="s">
        <v>153</v>
      </c>
      <c r="L37" s="2" t="s">
        <v>183</v>
      </c>
      <c r="M37" s="2" t="s">
        <v>184</v>
      </c>
      <c r="N37" s="2" t="s">
        <v>185</v>
      </c>
      <c r="O37" s="2" t="s">
        <v>70</v>
      </c>
      <c r="P37" s="2" t="s">
        <v>71</v>
      </c>
      <c r="Q37" s="2" t="s">
        <v>72</v>
      </c>
      <c r="R37" s="2" t="s">
        <v>157</v>
      </c>
      <c r="S37" s="2" t="s">
        <v>73</v>
      </c>
      <c r="T37" s="2" t="s">
        <v>60</v>
      </c>
      <c r="U37" s="2" t="s">
        <v>60</v>
      </c>
      <c r="V37" s="2">
        <v>38</v>
      </c>
      <c r="W37" s="3" t="s">
        <v>158</v>
      </c>
      <c r="X37" s="3" t="s">
        <v>62</v>
      </c>
      <c r="Y37" s="2" t="s">
        <v>159</v>
      </c>
      <c r="Z37" s="3" t="s">
        <v>64</v>
      </c>
    </row>
    <row r="38" ht="27" spans="1:26">
      <c r="A38" s="2">
        <v>37</v>
      </c>
      <c r="B38" s="2" t="s">
        <v>147</v>
      </c>
      <c r="C38" s="2" t="s">
        <v>180</v>
      </c>
      <c r="D38" s="2" t="s">
        <v>196</v>
      </c>
      <c r="E38" s="2" t="s">
        <v>197</v>
      </c>
      <c r="F38" s="2" t="s">
        <v>151</v>
      </c>
      <c r="G38" s="2" t="s">
        <v>152</v>
      </c>
      <c r="H38" s="2" t="s">
        <v>108</v>
      </c>
      <c r="I38" s="2"/>
      <c r="J38" s="6" t="s">
        <v>109</v>
      </c>
      <c r="K38" s="2" t="s">
        <v>153</v>
      </c>
      <c r="L38" s="2" t="s">
        <v>183</v>
      </c>
      <c r="M38" s="2" t="s">
        <v>184</v>
      </c>
      <c r="N38" s="2" t="s">
        <v>185</v>
      </c>
      <c r="O38" s="2" t="s">
        <v>198</v>
      </c>
      <c r="P38" s="2" t="s">
        <v>199</v>
      </c>
      <c r="Q38" s="2" t="s">
        <v>200</v>
      </c>
      <c r="R38" s="2" t="s">
        <v>157</v>
      </c>
      <c r="S38" s="2" t="s">
        <v>94</v>
      </c>
      <c r="T38" s="2" t="s">
        <v>60</v>
      </c>
      <c r="U38" s="2" t="s">
        <v>60</v>
      </c>
      <c r="V38" s="2">
        <v>39</v>
      </c>
      <c r="W38" s="3" t="s">
        <v>158</v>
      </c>
      <c r="X38" s="3" t="s">
        <v>62</v>
      </c>
      <c r="Y38" s="2" t="s">
        <v>159</v>
      </c>
      <c r="Z38" s="3" t="s">
        <v>64</v>
      </c>
    </row>
    <row r="39" ht="27" spans="1:26">
      <c r="A39" s="2">
        <v>38</v>
      </c>
      <c r="B39" s="2" t="s">
        <v>147</v>
      </c>
      <c r="C39" s="2" t="s">
        <v>180</v>
      </c>
      <c r="D39" s="2" t="s">
        <v>201</v>
      </c>
      <c r="E39" s="2" t="s">
        <v>202</v>
      </c>
      <c r="F39" s="2" t="s">
        <v>151</v>
      </c>
      <c r="G39" s="2" t="s">
        <v>152</v>
      </c>
      <c r="H39" s="2" t="s">
        <v>108</v>
      </c>
      <c r="I39" s="2"/>
      <c r="J39" s="6" t="s">
        <v>109</v>
      </c>
      <c r="K39" s="2" t="s">
        <v>153</v>
      </c>
      <c r="L39" s="2" t="s">
        <v>183</v>
      </c>
      <c r="M39" s="2" t="s">
        <v>184</v>
      </c>
      <c r="N39" s="2" t="s">
        <v>185</v>
      </c>
      <c r="O39" s="2" t="s">
        <v>198</v>
      </c>
      <c r="P39" s="2" t="s">
        <v>199</v>
      </c>
      <c r="Q39" s="2" t="s">
        <v>200</v>
      </c>
      <c r="R39" s="2" t="s">
        <v>157</v>
      </c>
      <c r="S39" s="2" t="s">
        <v>94</v>
      </c>
      <c r="T39" s="2" t="s">
        <v>60</v>
      </c>
      <c r="U39" s="2" t="s">
        <v>60</v>
      </c>
      <c r="V39" s="2">
        <v>40</v>
      </c>
      <c r="W39" s="3" t="s">
        <v>158</v>
      </c>
      <c r="X39" s="3" t="s">
        <v>62</v>
      </c>
      <c r="Y39" s="2" t="s">
        <v>159</v>
      </c>
      <c r="Z39" s="3" t="s">
        <v>64</v>
      </c>
    </row>
    <row r="40" ht="27" spans="1:26">
      <c r="A40" s="2">
        <v>39</v>
      </c>
      <c r="B40" s="2" t="s">
        <v>147</v>
      </c>
      <c r="C40" s="2" t="s">
        <v>180</v>
      </c>
      <c r="D40" s="2" t="s">
        <v>203</v>
      </c>
      <c r="E40" s="2" t="s">
        <v>204</v>
      </c>
      <c r="F40" s="2" t="s">
        <v>151</v>
      </c>
      <c r="G40" s="2" t="s">
        <v>152</v>
      </c>
      <c r="H40" s="2" t="s">
        <v>108</v>
      </c>
      <c r="I40" s="2"/>
      <c r="J40" s="6" t="s">
        <v>109</v>
      </c>
      <c r="K40" s="2" t="s">
        <v>153</v>
      </c>
      <c r="L40" s="2" t="s">
        <v>183</v>
      </c>
      <c r="M40" s="2" t="s">
        <v>184</v>
      </c>
      <c r="N40" s="2" t="s">
        <v>185</v>
      </c>
      <c r="O40" s="2" t="s">
        <v>70</v>
      </c>
      <c r="P40" s="2" t="s">
        <v>71</v>
      </c>
      <c r="Q40" s="2" t="s">
        <v>72</v>
      </c>
      <c r="R40" s="2" t="s">
        <v>157</v>
      </c>
      <c r="S40" s="2" t="s">
        <v>73</v>
      </c>
      <c r="T40" s="2" t="s">
        <v>60</v>
      </c>
      <c r="U40" s="2" t="s">
        <v>60</v>
      </c>
      <c r="V40" s="2">
        <v>41</v>
      </c>
      <c r="W40" s="3" t="s">
        <v>158</v>
      </c>
      <c r="X40" s="3" t="s">
        <v>62</v>
      </c>
      <c r="Y40" s="2" t="s">
        <v>159</v>
      </c>
      <c r="Z40" s="3" t="s">
        <v>64</v>
      </c>
    </row>
    <row r="41" ht="27" spans="1:26">
      <c r="A41" s="2">
        <v>40</v>
      </c>
      <c r="B41" s="2" t="s">
        <v>147</v>
      </c>
      <c r="C41" s="2" t="s">
        <v>180</v>
      </c>
      <c r="D41" s="2" t="s">
        <v>205</v>
      </c>
      <c r="E41" s="2" t="s">
        <v>206</v>
      </c>
      <c r="F41" s="2" t="s">
        <v>151</v>
      </c>
      <c r="G41" s="2" t="s">
        <v>152</v>
      </c>
      <c r="H41" s="2" t="s">
        <v>108</v>
      </c>
      <c r="I41" s="2"/>
      <c r="J41" s="6" t="s">
        <v>109</v>
      </c>
      <c r="K41" s="2" t="s">
        <v>153</v>
      </c>
      <c r="L41" s="2" t="s">
        <v>183</v>
      </c>
      <c r="M41" s="2" t="s">
        <v>184</v>
      </c>
      <c r="N41" s="2" t="s">
        <v>185</v>
      </c>
      <c r="O41" s="2" t="s">
        <v>198</v>
      </c>
      <c r="P41" s="2" t="s">
        <v>199</v>
      </c>
      <c r="Q41" s="2" t="s">
        <v>200</v>
      </c>
      <c r="R41" s="2" t="s">
        <v>157</v>
      </c>
      <c r="S41" s="2" t="s">
        <v>94</v>
      </c>
      <c r="T41" s="2" t="s">
        <v>60</v>
      </c>
      <c r="U41" s="2" t="s">
        <v>60</v>
      </c>
      <c r="V41" s="2">
        <v>42</v>
      </c>
      <c r="W41" s="3" t="s">
        <v>158</v>
      </c>
      <c r="X41" s="3" t="s">
        <v>62</v>
      </c>
      <c r="Y41" s="2" t="s">
        <v>159</v>
      </c>
      <c r="Z41" s="3" t="s">
        <v>64</v>
      </c>
    </row>
    <row r="42" ht="27" spans="1:26">
      <c r="A42" s="2">
        <v>41</v>
      </c>
      <c r="B42" s="2" t="s">
        <v>147</v>
      </c>
      <c r="C42" s="2" t="s">
        <v>180</v>
      </c>
      <c r="D42" s="2" t="s">
        <v>207</v>
      </c>
      <c r="E42" s="2" t="s">
        <v>208</v>
      </c>
      <c r="F42" s="2" t="s">
        <v>151</v>
      </c>
      <c r="G42" s="2" t="s">
        <v>152</v>
      </c>
      <c r="H42" s="2" t="s">
        <v>108</v>
      </c>
      <c r="I42" s="2"/>
      <c r="J42" s="6" t="s">
        <v>109</v>
      </c>
      <c r="K42" s="2" t="s">
        <v>153</v>
      </c>
      <c r="L42" s="2" t="s">
        <v>183</v>
      </c>
      <c r="M42" s="2" t="s">
        <v>184</v>
      </c>
      <c r="N42" s="2" t="s">
        <v>185</v>
      </c>
      <c r="O42" s="2" t="s">
        <v>198</v>
      </c>
      <c r="P42" s="2" t="s">
        <v>199</v>
      </c>
      <c r="Q42" s="2" t="s">
        <v>200</v>
      </c>
      <c r="R42" s="2" t="s">
        <v>157</v>
      </c>
      <c r="S42" s="2" t="s">
        <v>94</v>
      </c>
      <c r="T42" s="2" t="s">
        <v>60</v>
      </c>
      <c r="U42" s="2" t="s">
        <v>60</v>
      </c>
      <c r="V42" s="2">
        <v>43</v>
      </c>
      <c r="W42" s="3" t="s">
        <v>158</v>
      </c>
      <c r="X42" s="3" t="s">
        <v>62</v>
      </c>
      <c r="Y42" s="2" t="s">
        <v>159</v>
      </c>
      <c r="Z42" s="3" t="s">
        <v>64</v>
      </c>
    </row>
    <row r="43" ht="27" spans="1:26">
      <c r="A43" s="2">
        <v>42</v>
      </c>
      <c r="B43" s="2" t="s">
        <v>147</v>
      </c>
      <c r="C43" s="2" t="s">
        <v>180</v>
      </c>
      <c r="D43" s="2" t="s">
        <v>209</v>
      </c>
      <c r="E43" s="2" t="s">
        <v>210</v>
      </c>
      <c r="F43" s="2" t="s">
        <v>151</v>
      </c>
      <c r="G43" s="2" t="s">
        <v>152</v>
      </c>
      <c r="H43" s="2" t="s">
        <v>108</v>
      </c>
      <c r="I43" s="2"/>
      <c r="J43" s="6" t="s">
        <v>109</v>
      </c>
      <c r="K43" s="2" t="s">
        <v>153</v>
      </c>
      <c r="L43" s="2" t="s">
        <v>183</v>
      </c>
      <c r="M43" s="2" t="s">
        <v>184</v>
      </c>
      <c r="N43" s="2" t="s">
        <v>185</v>
      </c>
      <c r="O43" s="2" t="s">
        <v>198</v>
      </c>
      <c r="P43" s="2" t="s">
        <v>199</v>
      </c>
      <c r="Q43" s="2" t="s">
        <v>200</v>
      </c>
      <c r="R43" s="2" t="s">
        <v>157</v>
      </c>
      <c r="S43" s="2" t="s">
        <v>94</v>
      </c>
      <c r="T43" s="2" t="s">
        <v>60</v>
      </c>
      <c r="U43" s="2" t="s">
        <v>60</v>
      </c>
      <c r="V43" s="2">
        <v>44</v>
      </c>
      <c r="W43" s="3" t="s">
        <v>158</v>
      </c>
      <c r="X43" s="3" t="s">
        <v>62</v>
      </c>
      <c r="Y43" s="2" t="s">
        <v>159</v>
      </c>
      <c r="Z43" s="3" t="s">
        <v>64</v>
      </c>
    </row>
    <row r="44" ht="27" spans="1:26">
      <c r="A44" s="2">
        <v>43</v>
      </c>
      <c r="B44" s="2" t="s">
        <v>147</v>
      </c>
      <c r="C44" s="2" t="s">
        <v>180</v>
      </c>
      <c r="D44" s="2" t="s">
        <v>211</v>
      </c>
      <c r="E44" s="2" t="s">
        <v>212</v>
      </c>
      <c r="F44" s="2" t="s">
        <v>151</v>
      </c>
      <c r="G44" s="2" t="s">
        <v>152</v>
      </c>
      <c r="H44" s="2" t="s">
        <v>108</v>
      </c>
      <c r="I44" s="2"/>
      <c r="J44" s="6" t="s">
        <v>109</v>
      </c>
      <c r="K44" s="2" t="s">
        <v>153</v>
      </c>
      <c r="L44" s="2" t="s">
        <v>183</v>
      </c>
      <c r="M44" s="2" t="s">
        <v>184</v>
      </c>
      <c r="N44" s="2" t="s">
        <v>185</v>
      </c>
      <c r="O44" s="2" t="s">
        <v>70</v>
      </c>
      <c r="P44" s="2" t="s">
        <v>71</v>
      </c>
      <c r="Q44" s="2" t="s">
        <v>72</v>
      </c>
      <c r="R44" s="2" t="s">
        <v>157</v>
      </c>
      <c r="S44" s="2" t="s">
        <v>73</v>
      </c>
      <c r="T44" s="2" t="s">
        <v>60</v>
      </c>
      <c r="U44" s="2" t="s">
        <v>60</v>
      </c>
      <c r="V44" s="2">
        <v>45</v>
      </c>
      <c r="W44" s="3" t="s">
        <v>158</v>
      </c>
      <c r="X44" s="3" t="s">
        <v>62</v>
      </c>
      <c r="Y44" s="2" t="s">
        <v>159</v>
      </c>
      <c r="Z44" s="3" t="s">
        <v>64</v>
      </c>
    </row>
    <row r="45" ht="27" spans="1:26">
      <c r="A45" s="2">
        <v>44</v>
      </c>
      <c r="B45" s="2" t="s">
        <v>147</v>
      </c>
      <c r="C45" s="2" t="s">
        <v>180</v>
      </c>
      <c r="D45" s="2" t="s">
        <v>213</v>
      </c>
      <c r="E45" s="2" t="s">
        <v>214</v>
      </c>
      <c r="F45" s="2" t="s">
        <v>151</v>
      </c>
      <c r="G45" s="2" t="s">
        <v>152</v>
      </c>
      <c r="H45" s="2" t="s">
        <v>108</v>
      </c>
      <c r="I45" s="2"/>
      <c r="J45" s="6" t="s">
        <v>109</v>
      </c>
      <c r="K45" s="2" t="s">
        <v>153</v>
      </c>
      <c r="L45" s="2" t="s">
        <v>183</v>
      </c>
      <c r="M45" s="2" t="s">
        <v>184</v>
      </c>
      <c r="N45" s="2" t="s">
        <v>185</v>
      </c>
      <c r="O45" s="2" t="s">
        <v>198</v>
      </c>
      <c r="P45" s="2" t="s">
        <v>199</v>
      </c>
      <c r="Q45" s="2" t="s">
        <v>200</v>
      </c>
      <c r="R45" s="2" t="s">
        <v>157</v>
      </c>
      <c r="S45" s="2" t="s">
        <v>94</v>
      </c>
      <c r="T45" s="2" t="s">
        <v>60</v>
      </c>
      <c r="U45" s="2" t="s">
        <v>60</v>
      </c>
      <c r="V45" s="2">
        <v>46</v>
      </c>
      <c r="W45" s="3" t="s">
        <v>158</v>
      </c>
      <c r="X45" s="3" t="s">
        <v>62</v>
      </c>
      <c r="Y45" s="2" t="s">
        <v>159</v>
      </c>
      <c r="Z45" s="3" t="s">
        <v>64</v>
      </c>
    </row>
    <row r="46" ht="27" spans="1:26">
      <c r="A46" s="2">
        <v>45</v>
      </c>
      <c r="B46" s="2" t="s">
        <v>147</v>
      </c>
      <c r="C46" s="2" t="s">
        <v>180</v>
      </c>
      <c r="D46" s="2" t="s">
        <v>215</v>
      </c>
      <c r="E46" s="2" t="s">
        <v>216</v>
      </c>
      <c r="F46" s="2" t="s">
        <v>151</v>
      </c>
      <c r="G46" s="2" t="s">
        <v>152</v>
      </c>
      <c r="H46" s="2" t="s">
        <v>108</v>
      </c>
      <c r="I46" s="2"/>
      <c r="J46" s="6" t="s">
        <v>109</v>
      </c>
      <c r="K46" s="2" t="s">
        <v>153</v>
      </c>
      <c r="L46" s="2" t="s">
        <v>183</v>
      </c>
      <c r="M46" s="2" t="s">
        <v>184</v>
      </c>
      <c r="N46" s="2" t="s">
        <v>185</v>
      </c>
      <c r="O46" s="2" t="s">
        <v>198</v>
      </c>
      <c r="P46" s="2" t="s">
        <v>199</v>
      </c>
      <c r="Q46" s="2" t="s">
        <v>200</v>
      </c>
      <c r="R46" s="2" t="s">
        <v>157</v>
      </c>
      <c r="S46" s="2" t="s">
        <v>94</v>
      </c>
      <c r="T46" s="2" t="s">
        <v>60</v>
      </c>
      <c r="U46" s="2" t="s">
        <v>60</v>
      </c>
      <c r="V46" s="2">
        <v>47</v>
      </c>
      <c r="W46" s="3" t="s">
        <v>158</v>
      </c>
      <c r="X46" s="3" t="s">
        <v>62</v>
      </c>
      <c r="Y46" s="2" t="s">
        <v>159</v>
      </c>
      <c r="Z46" s="3" t="s">
        <v>64</v>
      </c>
    </row>
    <row r="47" ht="27" spans="1:26">
      <c r="A47" s="2">
        <v>46</v>
      </c>
      <c r="B47" s="2" t="s">
        <v>147</v>
      </c>
      <c r="C47" s="2" t="s">
        <v>217</v>
      </c>
      <c r="D47" s="2" t="s">
        <v>218</v>
      </c>
      <c r="E47" s="2" t="s">
        <v>219</v>
      </c>
      <c r="F47" s="2" t="s">
        <v>151</v>
      </c>
      <c r="G47" s="2" t="s">
        <v>152</v>
      </c>
      <c r="H47" s="2" t="s">
        <v>80</v>
      </c>
      <c r="I47" s="2">
        <v>3</v>
      </c>
      <c r="J47" s="3" t="s">
        <v>81</v>
      </c>
      <c r="K47" s="2" t="s">
        <v>153</v>
      </c>
      <c r="L47" s="2" t="s">
        <v>220</v>
      </c>
      <c r="M47" s="2" t="s">
        <v>221</v>
      </c>
      <c r="N47" s="2" t="s">
        <v>222</v>
      </c>
      <c r="O47" s="2" t="s">
        <v>70</v>
      </c>
      <c r="P47" s="2" t="s">
        <v>71</v>
      </c>
      <c r="Q47" s="2" t="s">
        <v>72</v>
      </c>
      <c r="R47" s="2" t="s">
        <v>157</v>
      </c>
      <c r="S47" s="2" t="s">
        <v>73</v>
      </c>
      <c r="T47" s="2" t="s">
        <v>223</v>
      </c>
      <c r="U47" s="2" t="s">
        <v>60</v>
      </c>
      <c r="V47" s="2">
        <v>48</v>
      </c>
      <c r="W47" s="3" t="s">
        <v>158</v>
      </c>
      <c r="X47" s="3" t="s">
        <v>62</v>
      </c>
      <c r="Y47" s="2" t="s">
        <v>159</v>
      </c>
      <c r="Z47" s="3" t="s">
        <v>64</v>
      </c>
    </row>
    <row r="48" ht="27" spans="1:26">
      <c r="A48" s="2">
        <v>47</v>
      </c>
      <c r="B48" s="2" t="s">
        <v>147</v>
      </c>
      <c r="C48" s="2" t="s">
        <v>217</v>
      </c>
      <c r="D48" s="2" t="s">
        <v>224</v>
      </c>
      <c r="E48" s="2" t="s">
        <v>225</v>
      </c>
      <c r="F48" s="2" t="s">
        <v>151</v>
      </c>
      <c r="G48" s="2" t="s">
        <v>152</v>
      </c>
      <c r="H48" s="2" t="s">
        <v>80</v>
      </c>
      <c r="I48" s="2">
        <v>3</v>
      </c>
      <c r="J48" s="3" t="s">
        <v>81</v>
      </c>
      <c r="K48" s="2" t="s">
        <v>153</v>
      </c>
      <c r="L48" s="2" t="s">
        <v>220</v>
      </c>
      <c r="M48" s="2" t="s">
        <v>221</v>
      </c>
      <c r="N48" s="2" t="s">
        <v>222</v>
      </c>
      <c r="O48" s="2" t="s">
        <v>70</v>
      </c>
      <c r="P48" s="2" t="s">
        <v>71</v>
      </c>
      <c r="Q48" s="2" t="s">
        <v>72</v>
      </c>
      <c r="R48" s="2" t="s">
        <v>157</v>
      </c>
      <c r="S48" s="2" t="s">
        <v>73</v>
      </c>
      <c r="T48" s="2" t="s">
        <v>223</v>
      </c>
      <c r="U48" s="2" t="s">
        <v>60</v>
      </c>
      <c r="V48" s="2">
        <v>49</v>
      </c>
      <c r="W48" s="3" t="s">
        <v>158</v>
      </c>
      <c r="X48" s="3" t="s">
        <v>62</v>
      </c>
      <c r="Y48" s="2" t="s">
        <v>159</v>
      </c>
      <c r="Z48" s="3" t="s">
        <v>64</v>
      </c>
    </row>
    <row r="49" ht="40.5" spans="1:26">
      <c r="A49" s="2">
        <v>48</v>
      </c>
      <c r="B49" s="2" t="s">
        <v>147</v>
      </c>
      <c r="C49" s="2" t="s">
        <v>217</v>
      </c>
      <c r="D49" s="2" t="s">
        <v>226</v>
      </c>
      <c r="E49" s="2" t="s">
        <v>227</v>
      </c>
      <c r="F49" s="2" t="s">
        <v>151</v>
      </c>
      <c r="G49" s="2" t="s">
        <v>152</v>
      </c>
      <c r="H49" s="2" t="s">
        <v>80</v>
      </c>
      <c r="I49" s="2">
        <v>3</v>
      </c>
      <c r="J49" s="3" t="s">
        <v>81</v>
      </c>
      <c r="K49" s="2" t="s">
        <v>153</v>
      </c>
      <c r="L49" s="2" t="s">
        <v>220</v>
      </c>
      <c r="M49" s="2" t="s">
        <v>221</v>
      </c>
      <c r="N49" s="2" t="s">
        <v>222</v>
      </c>
      <c r="O49" s="2" t="s">
        <v>55</v>
      </c>
      <c r="P49" s="2" t="s">
        <v>56</v>
      </c>
      <c r="Q49" s="2" t="s">
        <v>57</v>
      </c>
      <c r="R49" s="2" t="s">
        <v>228</v>
      </c>
      <c r="S49" s="2" t="s">
        <v>94</v>
      </c>
      <c r="T49" s="2" t="s">
        <v>223</v>
      </c>
      <c r="U49" s="2" t="s">
        <v>60</v>
      </c>
      <c r="V49" s="2">
        <v>50</v>
      </c>
      <c r="W49" s="3" t="s">
        <v>158</v>
      </c>
      <c r="X49" s="3" t="s">
        <v>62</v>
      </c>
      <c r="Y49" s="2" t="s">
        <v>229</v>
      </c>
      <c r="Z49" s="3" t="s">
        <v>64</v>
      </c>
    </row>
    <row r="50" ht="27" spans="1:26">
      <c r="A50" s="2">
        <v>49</v>
      </c>
      <c r="B50" s="2" t="s">
        <v>147</v>
      </c>
      <c r="C50" s="2" t="s">
        <v>230</v>
      </c>
      <c r="D50" s="2" t="s">
        <v>218</v>
      </c>
      <c r="E50" s="2" t="s">
        <v>231</v>
      </c>
      <c r="F50" s="2" t="s">
        <v>151</v>
      </c>
      <c r="G50" s="2" t="s">
        <v>152</v>
      </c>
      <c r="H50" s="2" t="s">
        <v>80</v>
      </c>
      <c r="I50" s="2">
        <v>2</v>
      </c>
      <c r="J50" s="3" t="s">
        <v>232</v>
      </c>
      <c r="K50" s="2" t="s">
        <v>233</v>
      </c>
      <c r="L50" s="2" t="s">
        <v>234</v>
      </c>
      <c r="M50" s="2" t="s">
        <v>235</v>
      </c>
      <c r="N50" s="2" t="s">
        <v>236</v>
      </c>
      <c r="O50" s="2" t="s">
        <v>70</v>
      </c>
      <c r="P50" s="2" t="s">
        <v>71</v>
      </c>
      <c r="Q50" s="2" t="s">
        <v>72</v>
      </c>
      <c r="R50" s="2" t="s">
        <v>157</v>
      </c>
      <c r="S50" s="2" t="s">
        <v>73</v>
      </c>
      <c r="T50" s="2" t="s">
        <v>82</v>
      </c>
      <c r="U50" s="2" t="s">
        <v>83</v>
      </c>
      <c r="V50" s="2">
        <v>51</v>
      </c>
      <c r="W50" s="3" t="s">
        <v>237</v>
      </c>
      <c r="X50" s="3" t="s">
        <v>62</v>
      </c>
      <c r="Y50" s="2" t="s">
        <v>159</v>
      </c>
      <c r="Z50" s="3" t="s">
        <v>64</v>
      </c>
    </row>
    <row r="51" ht="27" spans="1:26">
      <c r="A51" s="2">
        <v>50</v>
      </c>
      <c r="B51" s="2" t="s">
        <v>147</v>
      </c>
      <c r="C51" s="2" t="s">
        <v>230</v>
      </c>
      <c r="D51" s="2" t="s">
        <v>238</v>
      </c>
      <c r="E51" s="2" t="s">
        <v>239</v>
      </c>
      <c r="F51" s="2" t="s">
        <v>151</v>
      </c>
      <c r="G51" s="2" t="s">
        <v>152</v>
      </c>
      <c r="H51" s="2" t="s">
        <v>80</v>
      </c>
      <c r="I51" s="2">
        <v>2</v>
      </c>
      <c r="J51" s="3" t="s">
        <v>232</v>
      </c>
      <c r="K51" s="2" t="s">
        <v>233</v>
      </c>
      <c r="L51" s="2" t="s">
        <v>234</v>
      </c>
      <c r="M51" s="2" t="s">
        <v>235</v>
      </c>
      <c r="N51" s="2" t="s">
        <v>236</v>
      </c>
      <c r="O51" s="2" t="s">
        <v>70</v>
      </c>
      <c r="P51" s="2" t="s">
        <v>71</v>
      </c>
      <c r="Q51" s="2" t="s">
        <v>72</v>
      </c>
      <c r="R51" s="2" t="s">
        <v>157</v>
      </c>
      <c r="S51" s="2" t="s">
        <v>73</v>
      </c>
      <c r="T51" s="2" t="s">
        <v>82</v>
      </c>
      <c r="U51" s="2" t="s">
        <v>83</v>
      </c>
      <c r="V51" s="2">
        <v>52</v>
      </c>
      <c r="W51" s="3" t="s">
        <v>237</v>
      </c>
      <c r="X51" s="3" t="s">
        <v>62</v>
      </c>
      <c r="Y51" s="2" t="s">
        <v>159</v>
      </c>
      <c r="Z51" s="3" t="s">
        <v>64</v>
      </c>
    </row>
    <row r="52" ht="40.5" spans="1:26">
      <c r="A52" s="2">
        <v>51</v>
      </c>
      <c r="B52" s="2" t="s">
        <v>147</v>
      </c>
      <c r="C52" s="2" t="s">
        <v>230</v>
      </c>
      <c r="D52" s="2" t="s">
        <v>240</v>
      </c>
      <c r="E52" s="2" t="s">
        <v>241</v>
      </c>
      <c r="F52" s="2" t="s">
        <v>151</v>
      </c>
      <c r="G52" s="2" t="s">
        <v>152</v>
      </c>
      <c r="H52" s="2" t="s">
        <v>108</v>
      </c>
      <c r="I52" s="2"/>
      <c r="J52" s="3" t="s">
        <v>242</v>
      </c>
      <c r="K52" s="2" t="s">
        <v>233</v>
      </c>
      <c r="L52" s="2" t="s">
        <v>234</v>
      </c>
      <c r="M52" s="2" t="s">
        <v>235</v>
      </c>
      <c r="N52" s="2" t="s">
        <v>236</v>
      </c>
      <c r="O52" s="2" t="s">
        <v>243</v>
      </c>
      <c r="P52" s="2" t="s">
        <v>244</v>
      </c>
      <c r="Q52" s="2" t="s">
        <v>200</v>
      </c>
      <c r="R52" s="2" t="s">
        <v>245</v>
      </c>
      <c r="S52" s="2" t="s">
        <v>94</v>
      </c>
      <c r="T52" s="2" t="s">
        <v>60</v>
      </c>
      <c r="U52" s="2" t="s">
        <v>60</v>
      </c>
      <c r="V52" s="2">
        <v>53</v>
      </c>
      <c r="W52" s="3" t="s">
        <v>237</v>
      </c>
      <c r="X52" s="3" t="s">
        <v>62</v>
      </c>
      <c r="Y52" s="2" t="s">
        <v>246</v>
      </c>
      <c r="Z52" s="3" t="s">
        <v>64</v>
      </c>
    </row>
    <row r="53" ht="27" spans="1:26">
      <c r="A53" s="2">
        <v>52</v>
      </c>
      <c r="B53" s="2" t="s">
        <v>147</v>
      </c>
      <c r="C53" s="2" t="s">
        <v>230</v>
      </c>
      <c r="D53" s="2" t="s">
        <v>247</v>
      </c>
      <c r="E53" s="2" t="s">
        <v>248</v>
      </c>
      <c r="F53" s="2" t="s">
        <v>151</v>
      </c>
      <c r="G53" s="2" t="s">
        <v>152</v>
      </c>
      <c r="H53" s="2" t="s">
        <v>80</v>
      </c>
      <c r="I53" s="2">
        <v>2</v>
      </c>
      <c r="J53" s="3" t="s">
        <v>232</v>
      </c>
      <c r="K53" s="2" t="s">
        <v>233</v>
      </c>
      <c r="L53" s="2" t="s">
        <v>234</v>
      </c>
      <c r="M53" s="2" t="s">
        <v>235</v>
      </c>
      <c r="N53" s="2" t="s">
        <v>236</v>
      </c>
      <c r="O53" s="2" t="s">
        <v>70</v>
      </c>
      <c r="P53" s="2" t="s">
        <v>71</v>
      </c>
      <c r="Q53" s="2" t="s">
        <v>72</v>
      </c>
      <c r="R53" s="2" t="s">
        <v>157</v>
      </c>
      <c r="S53" s="2" t="s">
        <v>73</v>
      </c>
      <c r="T53" s="2" t="s">
        <v>82</v>
      </c>
      <c r="U53" s="2" t="s">
        <v>83</v>
      </c>
      <c r="V53" s="2">
        <v>54</v>
      </c>
      <c r="W53" s="3" t="s">
        <v>237</v>
      </c>
      <c r="X53" s="3" t="s">
        <v>62</v>
      </c>
      <c r="Y53" s="2" t="s">
        <v>159</v>
      </c>
      <c r="Z53" s="3" t="s">
        <v>64</v>
      </c>
    </row>
    <row r="54" ht="27" spans="1:26">
      <c r="A54" s="2">
        <v>53</v>
      </c>
      <c r="B54" s="2" t="s">
        <v>147</v>
      </c>
      <c r="C54" s="2" t="s">
        <v>230</v>
      </c>
      <c r="D54" s="2" t="s">
        <v>249</v>
      </c>
      <c r="E54" s="2" t="s">
        <v>250</v>
      </c>
      <c r="F54" s="2" t="s">
        <v>151</v>
      </c>
      <c r="G54" s="2" t="s">
        <v>152</v>
      </c>
      <c r="H54" s="2" t="s">
        <v>80</v>
      </c>
      <c r="I54" s="2">
        <v>2</v>
      </c>
      <c r="J54" s="3" t="s">
        <v>232</v>
      </c>
      <c r="K54" s="2" t="s">
        <v>233</v>
      </c>
      <c r="L54" s="2" t="s">
        <v>234</v>
      </c>
      <c r="M54" s="2" t="s">
        <v>235</v>
      </c>
      <c r="N54" s="2" t="s">
        <v>236</v>
      </c>
      <c r="O54" s="2" t="s">
        <v>70</v>
      </c>
      <c r="P54" s="2" t="s">
        <v>71</v>
      </c>
      <c r="Q54" s="2" t="s">
        <v>72</v>
      </c>
      <c r="R54" s="2" t="s">
        <v>157</v>
      </c>
      <c r="S54" s="2" t="s">
        <v>73</v>
      </c>
      <c r="T54" s="2" t="s">
        <v>82</v>
      </c>
      <c r="U54" s="2" t="s">
        <v>83</v>
      </c>
      <c r="V54" s="2">
        <v>55</v>
      </c>
      <c r="W54" s="3" t="s">
        <v>237</v>
      </c>
      <c r="X54" s="3" t="s">
        <v>62</v>
      </c>
      <c r="Y54" s="2" t="s">
        <v>159</v>
      </c>
      <c r="Z54" s="3" t="s">
        <v>64</v>
      </c>
    </row>
    <row r="55" ht="27" spans="1:26">
      <c r="A55" s="2">
        <v>54</v>
      </c>
      <c r="B55" s="2" t="s">
        <v>147</v>
      </c>
      <c r="C55" s="2" t="s">
        <v>230</v>
      </c>
      <c r="D55" s="2" t="s">
        <v>251</v>
      </c>
      <c r="E55" s="2" t="s">
        <v>252</v>
      </c>
      <c r="F55" s="2" t="s">
        <v>151</v>
      </c>
      <c r="G55" s="2" t="s">
        <v>152</v>
      </c>
      <c r="H55" s="2" t="s">
        <v>80</v>
      </c>
      <c r="I55" s="2">
        <v>2</v>
      </c>
      <c r="J55" s="3" t="s">
        <v>232</v>
      </c>
      <c r="K55" s="2" t="s">
        <v>233</v>
      </c>
      <c r="L55" s="2" t="s">
        <v>234</v>
      </c>
      <c r="M55" s="2" t="s">
        <v>235</v>
      </c>
      <c r="N55" s="2" t="s">
        <v>236</v>
      </c>
      <c r="O55" s="2" t="s">
        <v>55</v>
      </c>
      <c r="P55" s="2" t="s">
        <v>56</v>
      </c>
      <c r="Q55" s="2" t="s">
        <v>57</v>
      </c>
      <c r="R55" s="2" t="s">
        <v>157</v>
      </c>
      <c r="S55" s="2" t="s">
        <v>59</v>
      </c>
      <c r="T55" s="2" t="s">
        <v>82</v>
      </c>
      <c r="U55" s="2" t="s">
        <v>83</v>
      </c>
      <c r="V55" s="2">
        <v>56</v>
      </c>
      <c r="W55" s="3" t="s">
        <v>237</v>
      </c>
      <c r="X55" s="3" t="s">
        <v>62</v>
      </c>
      <c r="Y55" s="2" t="s">
        <v>159</v>
      </c>
      <c r="Z55" s="3" t="s">
        <v>64</v>
      </c>
    </row>
    <row r="56" ht="27" spans="1:26">
      <c r="A56" s="2">
        <v>55</v>
      </c>
      <c r="B56" s="2" t="s">
        <v>147</v>
      </c>
      <c r="C56" s="2" t="s">
        <v>230</v>
      </c>
      <c r="D56" s="2" t="s">
        <v>253</v>
      </c>
      <c r="E56" s="2" t="s">
        <v>254</v>
      </c>
      <c r="F56" s="2" t="s">
        <v>151</v>
      </c>
      <c r="G56" s="2" t="s">
        <v>152</v>
      </c>
      <c r="H56" s="2" t="s">
        <v>80</v>
      </c>
      <c r="I56" s="2">
        <v>2</v>
      </c>
      <c r="J56" s="3" t="s">
        <v>232</v>
      </c>
      <c r="K56" s="2" t="s">
        <v>233</v>
      </c>
      <c r="L56" s="2" t="s">
        <v>234</v>
      </c>
      <c r="M56" s="2" t="s">
        <v>235</v>
      </c>
      <c r="N56" s="2" t="s">
        <v>236</v>
      </c>
      <c r="O56" s="2" t="s">
        <v>70</v>
      </c>
      <c r="P56" s="2" t="s">
        <v>71</v>
      </c>
      <c r="Q56" s="2" t="s">
        <v>72</v>
      </c>
      <c r="R56" s="2" t="s">
        <v>157</v>
      </c>
      <c r="S56" s="2" t="s">
        <v>73</v>
      </c>
      <c r="T56" s="2" t="s">
        <v>82</v>
      </c>
      <c r="U56" s="2" t="s">
        <v>83</v>
      </c>
      <c r="V56" s="2">
        <v>57</v>
      </c>
      <c r="W56" s="3" t="s">
        <v>237</v>
      </c>
      <c r="X56" s="3" t="s">
        <v>62</v>
      </c>
      <c r="Y56" s="2" t="s">
        <v>159</v>
      </c>
      <c r="Z56" s="3" t="s">
        <v>64</v>
      </c>
    </row>
    <row r="57" ht="27" spans="1:26">
      <c r="A57" s="2">
        <v>56</v>
      </c>
      <c r="B57" s="2" t="s">
        <v>147</v>
      </c>
      <c r="C57" s="2" t="s">
        <v>230</v>
      </c>
      <c r="D57" s="2" t="s">
        <v>255</v>
      </c>
      <c r="E57" s="2" t="s">
        <v>256</v>
      </c>
      <c r="F57" s="2" t="s">
        <v>151</v>
      </c>
      <c r="G57" s="2" t="s">
        <v>152</v>
      </c>
      <c r="H57" s="2" t="s">
        <v>80</v>
      </c>
      <c r="I57" s="2">
        <v>2</v>
      </c>
      <c r="J57" s="3" t="s">
        <v>232</v>
      </c>
      <c r="K57" s="2" t="s">
        <v>233</v>
      </c>
      <c r="L57" s="2" t="s">
        <v>234</v>
      </c>
      <c r="M57" s="2" t="s">
        <v>235</v>
      </c>
      <c r="N57" s="2" t="s">
        <v>236</v>
      </c>
      <c r="O57" s="2" t="s">
        <v>70</v>
      </c>
      <c r="P57" s="2" t="s">
        <v>71</v>
      </c>
      <c r="Q57" s="2" t="s">
        <v>72</v>
      </c>
      <c r="R57" s="2" t="s">
        <v>157</v>
      </c>
      <c r="S57" s="2" t="s">
        <v>73</v>
      </c>
      <c r="T57" s="2" t="s">
        <v>82</v>
      </c>
      <c r="U57" s="2" t="s">
        <v>83</v>
      </c>
      <c r="V57" s="2">
        <v>58</v>
      </c>
      <c r="W57" s="3" t="s">
        <v>237</v>
      </c>
      <c r="X57" s="3" t="s">
        <v>62</v>
      </c>
      <c r="Y57" s="2" t="s">
        <v>159</v>
      </c>
      <c r="Z57" s="3" t="s">
        <v>64</v>
      </c>
    </row>
    <row r="58" ht="27" spans="1:26">
      <c r="A58" s="2">
        <v>57</v>
      </c>
      <c r="B58" s="2" t="s">
        <v>147</v>
      </c>
      <c r="C58" s="2" t="s">
        <v>230</v>
      </c>
      <c r="D58" s="2" t="s">
        <v>257</v>
      </c>
      <c r="E58" s="2" t="s">
        <v>258</v>
      </c>
      <c r="F58" s="2" t="s">
        <v>151</v>
      </c>
      <c r="G58" s="2" t="s">
        <v>152</v>
      </c>
      <c r="H58" s="2" t="s">
        <v>80</v>
      </c>
      <c r="I58" s="2">
        <v>2</v>
      </c>
      <c r="J58" s="3" t="s">
        <v>232</v>
      </c>
      <c r="K58" s="2" t="s">
        <v>233</v>
      </c>
      <c r="L58" s="2" t="s">
        <v>234</v>
      </c>
      <c r="M58" s="2" t="s">
        <v>235</v>
      </c>
      <c r="N58" s="2" t="s">
        <v>236</v>
      </c>
      <c r="O58" s="2" t="s">
        <v>70</v>
      </c>
      <c r="P58" s="2" t="s">
        <v>71</v>
      </c>
      <c r="Q58" s="2" t="s">
        <v>72</v>
      </c>
      <c r="R58" s="2" t="s">
        <v>157</v>
      </c>
      <c r="S58" s="2" t="s">
        <v>73</v>
      </c>
      <c r="T58" s="2" t="s">
        <v>82</v>
      </c>
      <c r="U58" s="2" t="s">
        <v>83</v>
      </c>
      <c r="V58" s="2">
        <v>59</v>
      </c>
      <c r="W58" s="3" t="s">
        <v>237</v>
      </c>
      <c r="X58" s="3" t="s">
        <v>62</v>
      </c>
      <c r="Y58" s="2" t="s">
        <v>159</v>
      </c>
      <c r="Z58" s="3" t="s">
        <v>64</v>
      </c>
    </row>
    <row r="59" ht="27" spans="1:26">
      <c r="A59" s="2">
        <v>58</v>
      </c>
      <c r="B59" s="2" t="s">
        <v>147</v>
      </c>
      <c r="C59" s="2" t="s">
        <v>230</v>
      </c>
      <c r="D59" s="2" t="s">
        <v>259</v>
      </c>
      <c r="E59" s="2" t="s">
        <v>260</v>
      </c>
      <c r="F59" s="2" t="s">
        <v>151</v>
      </c>
      <c r="G59" s="2" t="s">
        <v>152</v>
      </c>
      <c r="H59" s="2" t="s">
        <v>80</v>
      </c>
      <c r="I59" s="2">
        <v>2</v>
      </c>
      <c r="J59" s="3" t="s">
        <v>232</v>
      </c>
      <c r="K59" s="2" t="s">
        <v>233</v>
      </c>
      <c r="L59" s="2" t="s">
        <v>234</v>
      </c>
      <c r="M59" s="2" t="s">
        <v>235</v>
      </c>
      <c r="N59" s="2" t="s">
        <v>236</v>
      </c>
      <c r="O59" s="2" t="s">
        <v>70</v>
      </c>
      <c r="P59" s="2" t="s">
        <v>71</v>
      </c>
      <c r="Q59" s="2" t="s">
        <v>72</v>
      </c>
      <c r="R59" s="2" t="s">
        <v>157</v>
      </c>
      <c r="S59" s="2" t="s">
        <v>73</v>
      </c>
      <c r="T59" s="2" t="s">
        <v>82</v>
      </c>
      <c r="U59" s="2" t="s">
        <v>83</v>
      </c>
      <c r="V59" s="2">
        <v>60</v>
      </c>
      <c r="W59" s="3" t="s">
        <v>237</v>
      </c>
      <c r="X59" s="3" t="s">
        <v>62</v>
      </c>
      <c r="Y59" s="2" t="s">
        <v>159</v>
      </c>
      <c r="Z59" s="3" t="s">
        <v>64</v>
      </c>
    </row>
    <row r="60" ht="27" spans="1:26">
      <c r="A60" s="2">
        <v>59</v>
      </c>
      <c r="B60" s="2" t="s">
        <v>147</v>
      </c>
      <c r="C60" s="2" t="s">
        <v>261</v>
      </c>
      <c r="D60" s="2" t="s">
        <v>262</v>
      </c>
      <c r="E60" s="2" t="s">
        <v>263</v>
      </c>
      <c r="F60" s="2" t="s">
        <v>151</v>
      </c>
      <c r="G60" s="2" t="s">
        <v>152</v>
      </c>
      <c r="H60" s="2" t="s">
        <v>80</v>
      </c>
      <c r="I60" s="2">
        <v>1</v>
      </c>
      <c r="J60" s="8" t="s">
        <v>88</v>
      </c>
      <c r="K60" s="2" t="s">
        <v>153</v>
      </c>
      <c r="L60" s="2" t="s">
        <v>264</v>
      </c>
      <c r="M60" s="2" t="s">
        <v>265</v>
      </c>
      <c r="N60" s="2" t="s">
        <v>266</v>
      </c>
      <c r="O60" s="2" t="s">
        <v>55</v>
      </c>
      <c r="P60" s="2" t="s">
        <v>56</v>
      </c>
      <c r="Q60" s="2" t="s">
        <v>57</v>
      </c>
      <c r="R60" s="2" t="s">
        <v>157</v>
      </c>
      <c r="S60" s="2" t="s">
        <v>94</v>
      </c>
      <c r="T60" s="2" t="s">
        <v>267</v>
      </c>
      <c r="U60" s="2" t="s">
        <v>268</v>
      </c>
      <c r="V60" s="2">
        <v>61</v>
      </c>
      <c r="W60" s="3" t="s">
        <v>158</v>
      </c>
      <c r="X60" s="3" t="s">
        <v>62</v>
      </c>
      <c r="Y60" s="2" t="s">
        <v>159</v>
      </c>
      <c r="Z60" s="3" t="s">
        <v>64</v>
      </c>
    </row>
    <row r="61" ht="27" spans="1:26">
      <c r="A61" s="2">
        <v>60</v>
      </c>
      <c r="B61" s="2" t="s">
        <v>147</v>
      </c>
      <c r="C61" s="2" t="s">
        <v>261</v>
      </c>
      <c r="D61" s="2" t="s">
        <v>269</v>
      </c>
      <c r="E61" s="2" t="s">
        <v>270</v>
      </c>
      <c r="F61" s="2" t="s">
        <v>151</v>
      </c>
      <c r="G61" s="2" t="s">
        <v>152</v>
      </c>
      <c r="H61" s="2" t="s">
        <v>80</v>
      </c>
      <c r="I61" s="2">
        <v>1</v>
      </c>
      <c r="J61" s="8" t="s">
        <v>88</v>
      </c>
      <c r="K61" s="2" t="s">
        <v>153</v>
      </c>
      <c r="L61" s="2" t="s">
        <v>264</v>
      </c>
      <c r="M61" s="2" t="s">
        <v>265</v>
      </c>
      <c r="N61" s="2" t="s">
        <v>266</v>
      </c>
      <c r="O61" s="2" t="s">
        <v>55</v>
      </c>
      <c r="P61" s="2" t="s">
        <v>56</v>
      </c>
      <c r="Q61" s="2" t="s">
        <v>57</v>
      </c>
      <c r="R61" s="2" t="s">
        <v>157</v>
      </c>
      <c r="S61" s="2" t="s">
        <v>94</v>
      </c>
      <c r="T61" s="2" t="s">
        <v>267</v>
      </c>
      <c r="U61" s="2" t="s">
        <v>268</v>
      </c>
      <c r="V61" s="2">
        <v>62</v>
      </c>
      <c r="W61" s="3" t="s">
        <v>158</v>
      </c>
      <c r="X61" s="3" t="s">
        <v>62</v>
      </c>
      <c r="Y61" s="2" t="s">
        <v>159</v>
      </c>
      <c r="Z61" s="3" t="s">
        <v>64</v>
      </c>
    </row>
    <row r="62" ht="40.5" spans="1:26">
      <c r="A62" s="2">
        <v>61</v>
      </c>
      <c r="B62" s="2" t="s">
        <v>147</v>
      </c>
      <c r="C62" s="2" t="s">
        <v>261</v>
      </c>
      <c r="D62" s="2" t="s">
        <v>271</v>
      </c>
      <c r="E62" s="2" t="s">
        <v>272</v>
      </c>
      <c r="F62" s="2" t="s">
        <v>151</v>
      </c>
      <c r="G62" s="2" t="s">
        <v>152</v>
      </c>
      <c r="H62" s="2" t="s">
        <v>80</v>
      </c>
      <c r="I62" s="2">
        <v>1</v>
      </c>
      <c r="J62" s="8" t="s">
        <v>88</v>
      </c>
      <c r="K62" s="2" t="s">
        <v>153</v>
      </c>
      <c r="L62" s="2" t="s">
        <v>264</v>
      </c>
      <c r="M62" s="2" t="s">
        <v>265</v>
      </c>
      <c r="N62" s="2" t="s">
        <v>266</v>
      </c>
      <c r="O62" s="2" t="s">
        <v>243</v>
      </c>
      <c r="P62" s="2" t="s">
        <v>244</v>
      </c>
      <c r="Q62" s="2" t="s">
        <v>200</v>
      </c>
      <c r="R62" s="2" t="s">
        <v>273</v>
      </c>
      <c r="S62" s="2" t="s">
        <v>94</v>
      </c>
      <c r="T62" s="2" t="s">
        <v>267</v>
      </c>
      <c r="U62" s="2" t="s">
        <v>274</v>
      </c>
      <c r="V62" s="2">
        <v>63</v>
      </c>
      <c r="W62" s="3" t="s">
        <v>158</v>
      </c>
      <c r="X62" s="3" t="s">
        <v>62</v>
      </c>
      <c r="Y62" s="2" t="s">
        <v>275</v>
      </c>
      <c r="Z62" s="3" t="s">
        <v>64</v>
      </c>
    </row>
    <row r="63" ht="27" spans="1:26">
      <c r="A63" s="2">
        <v>62</v>
      </c>
      <c r="B63" s="2" t="s">
        <v>147</v>
      </c>
      <c r="C63" s="2" t="s">
        <v>276</v>
      </c>
      <c r="D63" s="2" t="s">
        <v>277</v>
      </c>
      <c r="E63" s="2" t="s">
        <v>278</v>
      </c>
      <c r="F63" s="2" t="s">
        <v>151</v>
      </c>
      <c r="G63" s="2" t="s">
        <v>152</v>
      </c>
      <c r="H63" s="2" t="s">
        <v>80</v>
      </c>
      <c r="I63" s="2">
        <v>1</v>
      </c>
      <c r="J63" s="8" t="s">
        <v>88</v>
      </c>
      <c r="K63" s="2" t="s">
        <v>153</v>
      </c>
      <c r="L63" s="2" t="s">
        <v>264</v>
      </c>
      <c r="M63" s="2" t="s">
        <v>265</v>
      </c>
      <c r="N63" s="2" t="s">
        <v>266</v>
      </c>
      <c r="O63" s="2" t="s">
        <v>55</v>
      </c>
      <c r="P63" s="2" t="s">
        <v>56</v>
      </c>
      <c r="Q63" s="2" t="s">
        <v>57</v>
      </c>
      <c r="R63" s="2" t="s">
        <v>157</v>
      </c>
      <c r="S63" s="2" t="s">
        <v>94</v>
      </c>
      <c r="T63" s="2" t="s">
        <v>267</v>
      </c>
      <c r="U63" s="2" t="s">
        <v>274</v>
      </c>
      <c r="V63" s="2">
        <v>64</v>
      </c>
      <c r="W63" s="3" t="s">
        <v>158</v>
      </c>
      <c r="X63" s="3" t="s">
        <v>62</v>
      </c>
      <c r="Y63" s="2" t="s">
        <v>159</v>
      </c>
      <c r="Z63" s="3" t="s">
        <v>64</v>
      </c>
    </row>
    <row r="64" ht="27" spans="1:26">
      <c r="A64" s="2">
        <v>63</v>
      </c>
      <c r="B64" s="2" t="s">
        <v>147</v>
      </c>
      <c r="C64" s="2" t="s">
        <v>276</v>
      </c>
      <c r="D64" s="2" t="s">
        <v>269</v>
      </c>
      <c r="E64" s="2" t="s">
        <v>279</v>
      </c>
      <c r="F64" s="2" t="s">
        <v>151</v>
      </c>
      <c r="G64" s="2" t="s">
        <v>152</v>
      </c>
      <c r="H64" s="2" t="s">
        <v>80</v>
      </c>
      <c r="I64" s="2">
        <v>1</v>
      </c>
      <c r="J64" s="8" t="s">
        <v>88</v>
      </c>
      <c r="K64" s="2" t="s">
        <v>153</v>
      </c>
      <c r="L64" s="2" t="s">
        <v>264</v>
      </c>
      <c r="M64" s="2" t="s">
        <v>265</v>
      </c>
      <c r="N64" s="2" t="s">
        <v>266</v>
      </c>
      <c r="O64" s="2" t="s">
        <v>55</v>
      </c>
      <c r="P64" s="2" t="s">
        <v>56</v>
      </c>
      <c r="Q64" s="2" t="s">
        <v>57</v>
      </c>
      <c r="R64" s="2" t="s">
        <v>157</v>
      </c>
      <c r="S64" s="2" t="s">
        <v>94</v>
      </c>
      <c r="T64" s="2" t="s">
        <v>267</v>
      </c>
      <c r="U64" s="2" t="s">
        <v>274</v>
      </c>
      <c r="V64" s="2">
        <v>65</v>
      </c>
      <c r="W64" s="3" t="s">
        <v>158</v>
      </c>
      <c r="X64" s="3" t="s">
        <v>62</v>
      </c>
      <c r="Y64" s="2" t="s">
        <v>159</v>
      </c>
      <c r="Z64" s="3" t="s">
        <v>64</v>
      </c>
    </row>
    <row r="65" ht="27" spans="1:26">
      <c r="A65" s="2">
        <v>64</v>
      </c>
      <c r="B65" s="2" t="s">
        <v>147</v>
      </c>
      <c r="C65" s="2" t="s">
        <v>276</v>
      </c>
      <c r="D65" s="2" t="s">
        <v>271</v>
      </c>
      <c r="E65" s="2" t="s">
        <v>280</v>
      </c>
      <c r="F65" s="2" t="s">
        <v>151</v>
      </c>
      <c r="G65" s="2" t="s">
        <v>152</v>
      </c>
      <c r="H65" s="2" t="s">
        <v>80</v>
      </c>
      <c r="I65" s="2">
        <v>1</v>
      </c>
      <c r="J65" s="8" t="s">
        <v>88</v>
      </c>
      <c r="K65" s="2" t="s">
        <v>153</v>
      </c>
      <c r="L65" s="2" t="s">
        <v>264</v>
      </c>
      <c r="M65" s="2" t="s">
        <v>265</v>
      </c>
      <c r="N65" s="2" t="s">
        <v>266</v>
      </c>
      <c r="O65" s="2" t="s">
        <v>243</v>
      </c>
      <c r="P65" s="2" t="s">
        <v>244</v>
      </c>
      <c r="Q65" s="2" t="s">
        <v>200</v>
      </c>
      <c r="R65" s="2" t="s">
        <v>157</v>
      </c>
      <c r="S65" s="2" t="s">
        <v>94</v>
      </c>
      <c r="T65" s="2" t="s">
        <v>267</v>
      </c>
      <c r="U65" s="2" t="s">
        <v>274</v>
      </c>
      <c r="V65" s="2">
        <v>66</v>
      </c>
      <c r="W65" s="3" t="s">
        <v>158</v>
      </c>
      <c r="X65" s="3" t="s">
        <v>62</v>
      </c>
      <c r="Y65" s="2" t="s">
        <v>159</v>
      </c>
      <c r="Z65" s="3" t="s">
        <v>64</v>
      </c>
    </row>
    <row r="66" ht="27" spans="1:26">
      <c r="A66" s="2">
        <v>65</v>
      </c>
      <c r="B66" s="2" t="s">
        <v>147</v>
      </c>
      <c r="C66" s="2" t="s">
        <v>281</v>
      </c>
      <c r="D66" s="2" t="s">
        <v>282</v>
      </c>
      <c r="E66" s="2" t="s">
        <v>283</v>
      </c>
      <c r="F66" s="2" t="s">
        <v>151</v>
      </c>
      <c r="G66" s="2" t="s">
        <v>152</v>
      </c>
      <c r="H66" s="2" t="s">
        <v>80</v>
      </c>
      <c r="I66" s="2">
        <v>1</v>
      </c>
      <c r="J66" s="8" t="s">
        <v>88</v>
      </c>
      <c r="K66" s="2" t="s">
        <v>153</v>
      </c>
      <c r="L66" s="2" t="s">
        <v>264</v>
      </c>
      <c r="M66" s="2" t="s">
        <v>265</v>
      </c>
      <c r="N66" s="2" t="s">
        <v>266</v>
      </c>
      <c r="O66" s="2" t="s">
        <v>55</v>
      </c>
      <c r="P66" s="2" t="s">
        <v>56</v>
      </c>
      <c r="Q66" s="2" t="s">
        <v>57</v>
      </c>
      <c r="R66" s="2" t="s">
        <v>157</v>
      </c>
      <c r="S66" s="2" t="s">
        <v>94</v>
      </c>
      <c r="T66" s="2" t="s">
        <v>267</v>
      </c>
      <c r="U66" s="2" t="s">
        <v>274</v>
      </c>
      <c r="V66" s="2">
        <v>67</v>
      </c>
      <c r="W66" s="3" t="s">
        <v>158</v>
      </c>
      <c r="X66" s="3" t="s">
        <v>62</v>
      </c>
      <c r="Y66" s="2" t="s">
        <v>159</v>
      </c>
      <c r="Z66" s="3" t="s">
        <v>64</v>
      </c>
    </row>
    <row r="67" ht="27" spans="1:26">
      <c r="A67" s="2">
        <v>66</v>
      </c>
      <c r="B67" s="2" t="s">
        <v>147</v>
      </c>
      <c r="C67" s="2" t="s">
        <v>281</v>
      </c>
      <c r="D67" s="2" t="s">
        <v>269</v>
      </c>
      <c r="E67" s="2" t="s">
        <v>284</v>
      </c>
      <c r="F67" s="2" t="s">
        <v>151</v>
      </c>
      <c r="G67" s="2" t="s">
        <v>152</v>
      </c>
      <c r="H67" s="2" t="s">
        <v>80</v>
      </c>
      <c r="I67" s="2">
        <v>1</v>
      </c>
      <c r="J67" s="8" t="s">
        <v>88</v>
      </c>
      <c r="K67" s="2" t="s">
        <v>153</v>
      </c>
      <c r="L67" s="2" t="s">
        <v>264</v>
      </c>
      <c r="M67" s="2" t="s">
        <v>265</v>
      </c>
      <c r="N67" s="2" t="s">
        <v>266</v>
      </c>
      <c r="O67" s="2" t="s">
        <v>55</v>
      </c>
      <c r="P67" s="2" t="s">
        <v>56</v>
      </c>
      <c r="Q67" s="2" t="s">
        <v>57</v>
      </c>
      <c r="R67" s="2" t="s">
        <v>157</v>
      </c>
      <c r="S67" s="2" t="s">
        <v>94</v>
      </c>
      <c r="T67" s="2" t="s">
        <v>267</v>
      </c>
      <c r="U67" s="2" t="s">
        <v>274</v>
      </c>
      <c r="V67" s="2">
        <v>68</v>
      </c>
      <c r="W67" s="3" t="s">
        <v>158</v>
      </c>
      <c r="X67" s="3" t="s">
        <v>62</v>
      </c>
      <c r="Y67" s="2" t="s">
        <v>159</v>
      </c>
      <c r="Z67" s="3" t="s">
        <v>64</v>
      </c>
    </row>
    <row r="68" ht="40.5" spans="1:26">
      <c r="A68" s="2">
        <v>67</v>
      </c>
      <c r="B68" s="2" t="s">
        <v>147</v>
      </c>
      <c r="C68" s="2" t="s">
        <v>281</v>
      </c>
      <c r="D68" s="2" t="s">
        <v>285</v>
      </c>
      <c r="E68" s="2" t="s">
        <v>286</v>
      </c>
      <c r="F68" s="2" t="s">
        <v>151</v>
      </c>
      <c r="G68" s="2" t="s">
        <v>152</v>
      </c>
      <c r="H68" s="2" t="s">
        <v>80</v>
      </c>
      <c r="I68" s="2">
        <v>1</v>
      </c>
      <c r="J68" s="8" t="s">
        <v>88</v>
      </c>
      <c r="K68" s="2" t="s">
        <v>153</v>
      </c>
      <c r="L68" s="2" t="s">
        <v>264</v>
      </c>
      <c r="M68" s="2" t="s">
        <v>265</v>
      </c>
      <c r="N68" s="2" t="s">
        <v>266</v>
      </c>
      <c r="O68" s="2" t="s">
        <v>243</v>
      </c>
      <c r="P68" s="2" t="s">
        <v>244</v>
      </c>
      <c r="Q68" s="2" t="s">
        <v>200</v>
      </c>
      <c r="R68" s="2" t="s">
        <v>287</v>
      </c>
      <c r="S68" s="2" t="s">
        <v>94</v>
      </c>
      <c r="T68" s="2" t="s">
        <v>267</v>
      </c>
      <c r="U68" s="2" t="s">
        <v>274</v>
      </c>
      <c r="V68" s="2">
        <v>69</v>
      </c>
      <c r="W68" s="3" t="s">
        <v>158</v>
      </c>
      <c r="X68" s="3" t="s">
        <v>62</v>
      </c>
      <c r="Y68" s="2" t="s">
        <v>288</v>
      </c>
      <c r="Z68" s="3" t="s">
        <v>64</v>
      </c>
    </row>
    <row r="69" ht="27" spans="1:26">
      <c r="A69" s="2">
        <v>68</v>
      </c>
      <c r="B69" s="2" t="s">
        <v>147</v>
      </c>
      <c r="C69" s="2" t="s">
        <v>289</v>
      </c>
      <c r="D69" s="2" t="s">
        <v>290</v>
      </c>
      <c r="E69" s="2" t="s">
        <v>291</v>
      </c>
      <c r="F69" s="2" t="s">
        <v>151</v>
      </c>
      <c r="G69" s="2" t="s">
        <v>152</v>
      </c>
      <c r="H69" s="2" t="s">
        <v>108</v>
      </c>
      <c r="I69" s="2"/>
      <c r="J69" s="6" t="s">
        <v>109</v>
      </c>
      <c r="K69" s="2" t="s">
        <v>153</v>
      </c>
      <c r="L69" s="2" t="s">
        <v>292</v>
      </c>
      <c r="M69" s="2" t="s">
        <v>293</v>
      </c>
      <c r="N69" s="2" t="s">
        <v>294</v>
      </c>
      <c r="O69" s="2" t="s">
        <v>70</v>
      </c>
      <c r="P69" s="2" t="s">
        <v>71</v>
      </c>
      <c r="Q69" s="2" t="s">
        <v>72</v>
      </c>
      <c r="R69" s="2" t="s">
        <v>157</v>
      </c>
      <c r="S69" s="2" t="s">
        <v>73</v>
      </c>
      <c r="T69" s="2" t="s">
        <v>60</v>
      </c>
      <c r="U69" s="2" t="s">
        <v>60</v>
      </c>
      <c r="V69" s="2">
        <v>70</v>
      </c>
      <c r="W69" s="3" t="s">
        <v>158</v>
      </c>
      <c r="X69" s="3" t="s">
        <v>62</v>
      </c>
      <c r="Y69" s="2" t="s">
        <v>159</v>
      </c>
      <c r="Z69" s="3" t="s">
        <v>64</v>
      </c>
    </row>
    <row r="70" ht="27" spans="1:26">
      <c r="A70" s="2">
        <v>69</v>
      </c>
      <c r="B70" s="2" t="s">
        <v>147</v>
      </c>
      <c r="C70" s="2" t="s">
        <v>289</v>
      </c>
      <c r="D70" s="2" t="s">
        <v>295</v>
      </c>
      <c r="E70" s="2" t="s">
        <v>296</v>
      </c>
      <c r="F70" s="2" t="s">
        <v>151</v>
      </c>
      <c r="G70" s="2" t="s">
        <v>152</v>
      </c>
      <c r="H70" s="2" t="s">
        <v>108</v>
      </c>
      <c r="I70" s="2"/>
      <c r="J70" s="6" t="s">
        <v>109</v>
      </c>
      <c r="K70" s="2" t="s">
        <v>153</v>
      </c>
      <c r="L70" s="2" t="s">
        <v>292</v>
      </c>
      <c r="M70" s="2" t="s">
        <v>293</v>
      </c>
      <c r="N70" s="2" t="s">
        <v>294</v>
      </c>
      <c r="O70" s="2" t="s">
        <v>70</v>
      </c>
      <c r="P70" s="2" t="s">
        <v>71</v>
      </c>
      <c r="Q70" s="2" t="s">
        <v>72</v>
      </c>
      <c r="R70" s="2" t="s">
        <v>157</v>
      </c>
      <c r="S70" s="2" t="s">
        <v>73</v>
      </c>
      <c r="T70" s="2" t="s">
        <v>60</v>
      </c>
      <c r="U70" s="2" t="s">
        <v>60</v>
      </c>
      <c r="V70" s="2">
        <v>71</v>
      </c>
      <c r="W70" s="3" t="s">
        <v>158</v>
      </c>
      <c r="X70" s="3" t="s">
        <v>62</v>
      </c>
      <c r="Y70" s="2" t="s">
        <v>159</v>
      </c>
      <c r="Z70" s="3" t="s">
        <v>64</v>
      </c>
    </row>
    <row r="71" ht="27" spans="1:26">
      <c r="A71" s="2">
        <v>70</v>
      </c>
      <c r="B71" s="2" t="s">
        <v>147</v>
      </c>
      <c r="C71" s="2" t="s">
        <v>289</v>
      </c>
      <c r="D71" s="2" t="s">
        <v>297</v>
      </c>
      <c r="E71" s="2" t="s">
        <v>298</v>
      </c>
      <c r="F71" s="2" t="s">
        <v>151</v>
      </c>
      <c r="G71" s="2" t="s">
        <v>152</v>
      </c>
      <c r="H71" s="2" t="s">
        <v>108</v>
      </c>
      <c r="I71" s="2"/>
      <c r="J71" s="6" t="s">
        <v>109</v>
      </c>
      <c r="K71" s="2" t="s">
        <v>153</v>
      </c>
      <c r="L71" s="2" t="s">
        <v>292</v>
      </c>
      <c r="M71" s="2" t="s">
        <v>293</v>
      </c>
      <c r="N71" s="2" t="s">
        <v>294</v>
      </c>
      <c r="O71" s="2" t="s">
        <v>70</v>
      </c>
      <c r="P71" s="2" t="s">
        <v>71</v>
      </c>
      <c r="Q71" s="2" t="s">
        <v>72</v>
      </c>
      <c r="R71" s="2" t="s">
        <v>157</v>
      </c>
      <c r="S71" s="2" t="s">
        <v>73</v>
      </c>
      <c r="T71" s="2" t="s">
        <v>60</v>
      </c>
      <c r="U71" s="2" t="s">
        <v>60</v>
      </c>
      <c r="V71" s="2">
        <v>72</v>
      </c>
      <c r="W71" s="3" t="s">
        <v>158</v>
      </c>
      <c r="X71" s="3" t="s">
        <v>62</v>
      </c>
      <c r="Y71" s="2" t="s">
        <v>159</v>
      </c>
      <c r="Z71" s="3" t="s">
        <v>64</v>
      </c>
    </row>
    <row r="72" ht="27" spans="1:26">
      <c r="A72" s="2">
        <v>71</v>
      </c>
      <c r="B72" s="2" t="s">
        <v>147</v>
      </c>
      <c r="C72" s="2" t="s">
        <v>289</v>
      </c>
      <c r="D72" s="2" t="s">
        <v>299</v>
      </c>
      <c r="E72" s="2" t="s">
        <v>300</v>
      </c>
      <c r="F72" s="2" t="s">
        <v>151</v>
      </c>
      <c r="G72" s="2" t="s">
        <v>152</v>
      </c>
      <c r="H72" s="2" t="s">
        <v>108</v>
      </c>
      <c r="I72" s="2"/>
      <c r="J72" s="6" t="s">
        <v>109</v>
      </c>
      <c r="K72" s="2" t="s">
        <v>153</v>
      </c>
      <c r="L72" s="2" t="s">
        <v>292</v>
      </c>
      <c r="M72" s="2" t="s">
        <v>293</v>
      </c>
      <c r="N72" s="2" t="s">
        <v>294</v>
      </c>
      <c r="O72" s="2" t="s">
        <v>243</v>
      </c>
      <c r="P72" s="2" t="s">
        <v>244</v>
      </c>
      <c r="Q72" s="2" t="s">
        <v>200</v>
      </c>
      <c r="R72" s="2" t="s">
        <v>157</v>
      </c>
      <c r="S72" s="2" t="s">
        <v>94</v>
      </c>
      <c r="T72" s="2" t="s">
        <v>60</v>
      </c>
      <c r="U72" s="2" t="s">
        <v>60</v>
      </c>
      <c r="V72" s="2">
        <v>73</v>
      </c>
      <c r="W72" s="3" t="s">
        <v>158</v>
      </c>
      <c r="X72" s="3" t="s">
        <v>62</v>
      </c>
      <c r="Y72" s="2" t="s">
        <v>159</v>
      </c>
      <c r="Z72" s="3" t="s">
        <v>64</v>
      </c>
    </row>
    <row r="73" ht="27" spans="1:26">
      <c r="A73" s="2">
        <v>72</v>
      </c>
      <c r="B73" s="2" t="s">
        <v>147</v>
      </c>
      <c r="C73" s="2" t="s">
        <v>301</v>
      </c>
      <c r="D73" s="2" t="s">
        <v>224</v>
      </c>
      <c r="E73" s="2" t="s">
        <v>225</v>
      </c>
      <c r="F73" s="2" t="s">
        <v>151</v>
      </c>
      <c r="G73" s="2" t="s">
        <v>152</v>
      </c>
      <c r="H73" s="2" t="s">
        <v>108</v>
      </c>
      <c r="I73" s="2"/>
      <c r="J73" s="6" t="s">
        <v>109</v>
      </c>
      <c r="K73" s="2" t="s">
        <v>153</v>
      </c>
      <c r="L73" s="2" t="s">
        <v>220</v>
      </c>
      <c r="M73" s="2" t="s">
        <v>221</v>
      </c>
      <c r="N73" s="2" t="s">
        <v>222</v>
      </c>
      <c r="O73" s="2" t="s">
        <v>70</v>
      </c>
      <c r="P73" s="2" t="s">
        <v>71</v>
      </c>
      <c r="Q73" s="2" t="s">
        <v>72</v>
      </c>
      <c r="R73" s="2" t="s">
        <v>157</v>
      </c>
      <c r="S73" s="2" t="s">
        <v>73</v>
      </c>
      <c r="T73" s="2" t="s">
        <v>60</v>
      </c>
      <c r="U73" s="2" t="s">
        <v>60</v>
      </c>
      <c r="V73" s="2">
        <v>74</v>
      </c>
      <c r="W73" s="3" t="s">
        <v>158</v>
      </c>
      <c r="X73" s="3" t="s">
        <v>62</v>
      </c>
      <c r="Y73" s="2" t="s">
        <v>159</v>
      </c>
      <c r="Z73" s="3" t="s">
        <v>64</v>
      </c>
    </row>
    <row r="74" ht="27" spans="1:26">
      <c r="A74" s="2">
        <v>73</v>
      </c>
      <c r="B74" s="2" t="s">
        <v>147</v>
      </c>
      <c r="C74" s="2" t="s">
        <v>301</v>
      </c>
      <c r="D74" s="2" t="s">
        <v>218</v>
      </c>
      <c r="E74" s="2" t="s">
        <v>219</v>
      </c>
      <c r="F74" s="2" t="s">
        <v>151</v>
      </c>
      <c r="G74" s="2" t="s">
        <v>152</v>
      </c>
      <c r="H74" s="2" t="s">
        <v>108</v>
      </c>
      <c r="I74" s="2"/>
      <c r="J74" s="6" t="s">
        <v>109</v>
      </c>
      <c r="K74" s="2" t="s">
        <v>153</v>
      </c>
      <c r="L74" s="2" t="s">
        <v>220</v>
      </c>
      <c r="M74" s="2" t="s">
        <v>221</v>
      </c>
      <c r="N74" s="2" t="s">
        <v>222</v>
      </c>
      <c r="O74" s="2" t="s">
        <v>70</v>
      </c>
      <c r="P74" s="2" t="s">
        <v>71</v>
      </c>
      <c r="Q74" s="2" t="s">
        <v>72</v>
      </c>
      <c r="R74" s="2" t="s">
        <v>157</v>
      </c>
      <c r="S74" s="2" t="s">
        <v>73</v>
      </c>
      <c r="T74" s="2" t="s">
        <v>60</v>
      </c>
      <c r="U74" s="2" t="s">
        <v>60</v>
      </c>
      <c r="V74" s="2">
        <v>75</v>
      </c>
      <c r="W74" s="3" t="s">
        <v>158</v>
      </c>
      <c r="X74" s="3" t="s">
        <v>62</v>
      </c>
      <c r="Y74" s="2" t="s">
        <v>159</v>
      </c>
      <c r="Z74" s="3" t="s">
        <v>64</v>
      </c>
    </row>
    <row r="75" ht="27" spans="1:26">
      <c r="A75" s="2">
        <v>74</v>
      </c>
      <c r="B75" s="2" t="s">
        <v>147</v>
      </c>
      <c r="C75" s="2" t="s">
        <v>301</v>
      </c>
      <c r="D75" s="2" t="s">
        <v>302</v>
      </c>
      <c r="E75" s="2" t="s">
        <v>303</v>
      </c>
      <c r="F75" s="2" t="s">
        <v>151</v>
      </c>
      <c r="G75" s="2" t="s">
        <v>152</v>
      </c>
      <c r="H75" s="2" t="s">
        <v>108</v>
      </c>
      <c r="I75" s="2"/>
      <c r="J75" s="6" t="s">
        <v>109</v>
      </c>
      <c r="K75" s="2" t="s">
        <v>153</v>
      </c>
      <c r="L75" s="2" t="s">
        <v>304</v>
      </c>
      <c r="M75" s="2" t="s">
        <v>305</v>
      </c>
      <c r="N75" s="2" t="s">
        <v>306</v>
      </c>
      <c r="O75" s="2" t="s">
        <v>243</v>
      </c>
      <c r="P75" s="2" t="s">
        <v>244</v>
      </c>
      <c r="Q75" s="2" t="s">
        <v>200</v>
      </c>
      <c r="R75" s="2" t="s">
        <v>307</v>
      </c>
      <c r="S75" s="2" t="s">
        <v>94</v>
      </c>
      <c r="T75" s="2" t="s">
        <v>60</v>
      </c>
      <c r="U75" s="2" t="s">
        <v>60</v>
      </c>
      <c r="V75" s="2">
        <v>76</v>
      </c>
      <c r="W75" s="3" t="s">
        <v>158</v>
      </c>
      <c r="X75" s="3" t="s">
        <v>62</v>
      </c>
      <c r="Y75" s="2" t="s">
        <v>308</v>
      </c>
      <c r="Z75" s="3" t="s">
        <v>64</v>
      </c>
    </row>
    <row r="76" ht="27" spans="1:26">
      <c r="A76" s="2">
        <v>75</v>
      </c>
      <c r="B76" s="2" t="s">
        <v>147</v>
      </c>
      <c r="C76" s="2" t="s">
        <v>309</v>
      </c>
      <c r="D76" s="2" t="s">
        <v>8</v>
      </c>
      <c r="E76" s="2" t="s">
        <v>310</v>
      </c>
      <c r="F76" s="2" t="s">
        <v>311</v>
      </c>
      <c r="G76" s="2" t="s">
        <v>312</v>
      </c>
      <c r="H76" s="2" t="s">
        <v>313</v>
      </c>
      <c r="I76" s="2"/>
      <c r="J76" s="6" t="s">
        <v>138</v>
      </c>
      <c r="K76" s="2" t="s">
        <v>314</v>
      </c>
      <c r="L76" s="2" t="s">
        <v>315</v>
      </c>
      <c r="M76" s="2" t="s">
        <v>316</v>
      </c>
      <c r="N76" s="2" t="s">
        <v>317</v>
      </c>
      <c r="O76" s="2" t="s">
        <v>55</v>
      </c>
      <c r="P76" s="2" t="s">
        <v>56</v>
      </c>
      <c r="Q76" s="2" t="s">
        <v>57</v>
      </c>
      <c r="R76" s="2" t="s">
        <v>318</v>
      </c>
      <c r="S76" s="2" t="s">
        <v>94</v>
      </c>
      <c r="T76" s="2" t="s">
        <v>60</v>
      </c>
      <c r="U76" s="2" t="s">
        <v>319</v>
      </c>
      <c r="V76" s="2" t="s">
        <v>320</v>
      </c>
      <c r="W76" s="3" t="s">
        <v>237</v>
      </c>
      <c r="X76" s="3" t="s">
        <v>62</v>
      </c>
      <c r="Y76" s="2" t="s">
        <v>321</v>
      </c>
      <c r="Z76" s="3" t="s">
        <v>64</v>
      </c>
    </row>
  </sheetData>
  <autoFilter xmlns:etc="http://www.wps.cn/officeDocument/2017/etCustomData" ref="A1:Z76" etc:filterBottomFollowUsedRange="0">
    <extLst/>
  </autoFilter>
  <dataValidations count="1">
    <dataValidation type="list" sqref="X2:X76">
      <formula1>"未开始,合同阻断,环境阻断,开发中,联调中,待验收,已通过,暂缓"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8" customWidth="1"/>
    <col min="2" max="2" width="10" customWidth="1"/>
    <col min="3" max="3" width="24" customWidth="1"/>
    <col min="4" max="5" width="70" customWidth="1"/>
    <col min="6" max="6" width="14" customWidth="1"/>
    <col min="7" max="7" width="28" customWidth="1"/>
    <col min="8" max="8" width="42" customWidth="1"/>
  </cols>
  <sheetData>
    <row r="1" ht="15" spans="1:8">
      <c r="A1" s="1" t="s">
        <v>322</v>
      </c>
      <c r="B1" s="1" t="s">
        <v>323</v>
      </c>
      <c r="C1" s="1" t="s">
        <v>324</v>
      </c>
      <c r="D1" s="1" t="s">
        <v>325</v>
      </c>
      <c r="E1" s="1" t="s">
        <v>326</v>
      </c>
      <c r="F1" s="1" t="s">
        <v>40</v>
      </c>
      <c r="G1" s="1" t="s">
        <v>327</v>
      </c>
      <c r="H1" s="1" t="s">
        <v>328</v>
      </c>
    </row>
    <row r="2" spans="1:8">
      <c r="A2" s="2" t="s">
        <v>329</v>
      </c>
      <c r="B2" s="6" t="s">
        <v>330</v>
      </c>
      <c r="C2" s="2" t="s">
        <v>331</v>
      </c>
      <c r="D2" s="2" t="s">
        <v>332</v>
      </c>
      <c r="E2" s="2" t="s">
        <v>333</v>
      </c>
      <c r="F2" s="3" t="s">
        <v>138</v>
      </c>
      <c r="G2" s="3" t="s">
        <v>334</v>
      </c>
      <c r="H2" s="3" t="s">
        <v>64</v>
      </c>
    </row>
    <row r="3" spans="1:8">
      <c r="A3" s="2" t="s">
        <v>335</v>
      </c>
      <c r="B3" s="6" t="s">
        <v>330</v>
      </c>
      <c r="C3" s="2" t="s">
        <v>336</v>
      </c>
      <c r="D3" s="2" t="s">
        <v>337</v>
      </c>
      <c r="E3" s="2" t="s">
        <v>338</v>
      </c>
      <c r="F3" s="3" t="s">
        <v>138</v>
      </c>
      <c r="G3" s="3" t="s">
        <v>334</v>
      </c>
      <c r="H3" s="3" t="s">
        <v>64</v>
      </c>
    </row>
    <row r="4" spans="1:8">
      <c r="A4" s="2" t="s">
        <v>339</v>
      </c>
      <c r="B4" s="3" t="s">
        <v>340</v>
      </c>
      <c r="C4" s="2" t="s">
        <v>341</v>
      </c>
      <c r="D4" s="2" t="s">
        <v>342</v>
      </c>
      <c r="E4" s="2" t="s">
        <v>343</v>
      </c>
      <c r="F4" s="3" t="s">
        <v>138</v>
      </c>
      <c r="G4" s="3" t="s">
        <v>334</v>
      </c>
      <c r="H4" s="3" t="s">
        <v>64</v>
      </c>
    </row>
    <row r="5" spans="1:8">
      <c r="A5" s="2" t="s">
        <v>344</v>
      </c>
      <c r="B5" s="3" t="s">
        <v>340</v>
      </c>
      <c r="C5" s="2" t="s">
        <v>345</v>
      </c>
      <c r="D5" s="2" t="s">
        <v>346</v>
      </c>
      <c r="E5" s="2" t="s">
        <v>347</v>
      </c>
      <c r="F5" s="3" t="s">
        <v>138</v>
      </c>
      <c r="G5" s="3" t="s">
        <v>334</v>
      </c>
      <c r="H5" s="3" t="s">
        <v>64</v>
      </c>
    </row>
    <row r="6" spans="1:8">
      <c r="A6" s="2" t="s">
        <v>348</v>
      </c>
      <c r="B6" s="6" t="s">
        <v>330</v>
      </c>
      <c r="C6" s="2" t="s">
        <v>349</v>
      </c>
      <c r="D6" s="2" t="s">
        <v>350</v>
      </c>
      <c r="E6" s="2" t="s">
        <v>351</v>
      </c>
      <c r="F6" s="3" t="s">
        <v>138</v>
      </c>
      <c r="G6" s="3" t="s">
        <v>334</v>
      </c>
      <c r="H6" s="3" t="s">
        <v>64</v>
      </c>
    </row>
    <row r="7" ht="27" spans="1:8">
      <c r="A7" s="2" t="s">
        <v>352</v>
      </c>
      <c r="B7" s="3" t="s">
        <v>340</v>
      </c>
      <c r="C7" s="2" t="s">
        <v>353</v>
      </c>
      <c r="D7" s="2" t="s">
        <v>354</v>
      </c>
      <c r="E7" s="2" t="s">
        <v>355</v>
      </c>
      <c r="F7" s="3" t="s">
        <v>138</v>
      </c>
      <c r="G7" s="3" t="s">
        <v>334</v>
      </c>
      <c r="H7" s="3" t="s">
        <v>64</v>
      </c>
    </row>
    <row r="8" spans="1:8">
      <c r="A8" s="2" t="s">
        <v>356</v>
      </c>
      <c r="B8" s="6" t="s">
        <v>330</v>
      </c>
      <c r="C8" s="2" t="s">
        <v>357</v>
      </c>
      <c r="D8" s="2" t="s">
        <v>358</v>
      </c>
      <c r="E8" s="2" t="s">
        <v>359</v>
      </c>
      <c r="F8" s="3" t="s">
        <v>138</v>
      </c>
      <c r="G8" s="3" t="s">
        <v>334</v>
      </c>
      <c r="H8" s="3" t="s">
        <v>64</v>
      </c>
    </row>
    <row r="9" spans="1:8">
      <c r="A9" s="2" t="s">
        <v>360</v>
      </c>
      <c r="B9" s="6" t="s">
        <v>330</v>
      </c>
      <c r="C9" s="2" t="s">
        <v>361</v>
      </c>
      <c r="D9" s="2" t="s">
        <v>362</v>
      </c>
      <c r="E9" s="2" t="s">
        <v>363</v>
      </c>
      <c r="F9" s="3" t="s">
        <v>138</v>
      </c>
      <c r="G9" s="3" t="s">
        <v>334</v>
      </c>
      <c r="H9" s="3" t="s">
        <v>64</v>
      </c>
    </row>
    <row r="10" spans="1:8">
      <c r="A10" s="2" t="s">
        <v>364</v>
      </c>
      <c r="B10" s="6" t="s">
        <v>330</v>
      </c>
      <c r="C10" s="2" t="s">
        <v>365</v>
      </c>
      <c r="D10" s="2" t="s">
        <v>366</v>
      </c>
      <c r="E10" s="2" t="s">
        <v>367</v>
      </c>
      <c r="F10" s="3" t="s">
        <v>138</v>
      </c>
      <c r="G10" s="3" t="s">
        <v>334</v>
      </c>
      <c r="H10" s="3" t="s">
        <v>64</v>
      </c>
    </row>
    <row r="11" spans="1:8">
      <c r="A11" s="2" t="s">
        <v>368</v>
      </c>
      <c r="B11" s="3" t="s">
        <v>340</v>
      </c>
      <c r="C11" s="2" t="s">
        <v>369</v>
      </c>
      <c r="D11" s="2" t="s">
        <v>370</v>
      </c>
      <c r="E11" s="2" t="s">
        <v>371</v>
      </c>
      <c r="F11" s="3" t="s">
        <v>138</v>
      </c>
      <c r="G11" s="3" t="s">
        <v>334</v>
      </c>
      <c r="H11" s="3" t="s">
        <v>64</v>
      </c>
    </row>
    <row r="12" spans="1:8">
      <c r="A12" s="2" t="s">
        <v>372</v>
      </c>
      <c r="B12" s="3" t="s">
        <v>340</v>
      </c>
      <c r="C12" s="2" t="s">
        <v>373</v>
      </c>
      <c r="D12" s="2" t="s">
        <v>374</v>
      </c>
      <c r="E12" s="2" t="s">
        <v>375</v>
      </c>
      <c r="F12" s="3" t="s">
        <v>138</v>
      </c>
      <c r="G12" s="3" t="s">
        <v>334</v>
      </c>
      <c r="H12" s="3" t="s">
        <v>64</v>
      </c>
    </row>
    <row r="13" spans="1:8">
      <c r="A13" s="2" t="s">
        <v>376</v>
      </c>
      <c r="B13" s="3" t="s">
        <v>340</v>
      </c>
      <c r="C13" s="2" t="s">
        <v>377</v>
      </c>
      <c r="D13" s="2" t="s">
        <v>378</v>
      </c>
      <c r="E13" s="2" t="s">
        <v>379</v>
      </c>
      <c r="F13" s="3" t="s">
        <v>138</v>
      </c>
      <c r="G13" s="3" t="s">
        <v>334</v>
      </c>
      <c r="H13" s="3" t="s">
        <v>64</v>
      </c>
    </row>
    <row r="14" spans="1:8">
      <c r="A14" s="2" t="s">
        <v>380</v>
      </c>
      <c r="B14" s="3" t="s">
        <v>340</v>
      </c>
      <c r="C14" s="2" t="s">
        <v>381</v>
      </c>
      <c r="D14" s="2" t="s">
        <v>382</v>
      </c>
      <c r="E14" s="2" t="s">
        <v>383</v>
      </c>
      <c r="F14" s="3" t="s">
        <v>138</v>
      </c>
      <c r="G14" s="3" t="s">
        <v>334</v>
      </c>
      <c r="H14" s="3" t="s">
        <v>64</v>
      </c>
    </row>
    <row r="15" spans="1:8">
      <c r="A15" s="2" t="s">
        <v>384</v>
      </c>
      <c r="B15" s="3" t="s">
        <v>340</v>
      </c>
      <c r="C15" s="2" t="s">
        <v>385</v>
      </c>
      <c r="D15" s="2" t="s">
        <v>386</v>
      </c>
      <c r="E15" s="2" t="s">
        <v>387</v>
      </c>
      <c r="F15" s="3" t="s">
        <v>138</v>
      </c>
      <c r="G15" s="3" t="s">
        <v>334</v>
      </c>
      <c r="H15" s="3" t="s">
        <v>64</v>
      </c>
    </row>
    <row r="16" spans="1:8">
      <c r="A16" s="2" t="s">
        <v>388</v>
      </c>
      <c r="B16" s="3" t="s">
        <v>340</v>
      </c>
      <c r="C16" s="2" t="s">
        <v>389</v>
      </c>
      <c r="D16" s="2" t="s">
        <v>390</v>
      </c>
      <c r="E16" s="2" t="s">
        <v>391</v>
      </c>
      <c r="F16" s="3" t="s">
        <v>138</v>
      </c>
      <c r="G16" s="3" t="s">
        <v>334</v>
      </c>
      <c r="H16" s="3" t="s">
        <v>64</v>
      </c>
    </row>
    <row r="17" spans="1:8">
      <c r="A17" s="2" t="s">
        <v>392</v>
      </c>
      <c r="B17" s="7" t="s">
        <v>393</v>
      </c>
      <c r="C17" s="2" t="s">
        <v>394</v>
      </c>
      <c r="D17" s="2" t="s">
        <v>395</v>
      </c>
      <c r="E17" s="2" t="s">
        <v>396</v>
      </c>
      <c r="F17" s="3" t="s">
        <v>138</v>
      </c>
      <c r="G17" s="3" t="s">
        <v>334</v>
      </c>
      <c r="H17" s="3" t="s">
        <v>64</v>
      </c>
    </row>
    <row r="18" spans="1:8">
      <c r="A18" s="2" t="s">
        <v>397</v>
      </c>
      <c r="B18" s="7" t="s">
        <v>393</v>
      </c>
      <c r="C18" s="2" t="s">
        <v>398</v>
      </c>
      <c r="D18" s="2" t="s">
        <v>399</v>
      </c>
      <c r="E18" s="2" t="s">
        <v>400</v>
      </c>
      <c r="F18" s="3" t="s">
        <v>138</v>
      </c>
      <c r="G18" s="3" t="s">
        <v>334</v>
      </c>
      <c r="H18" s="3" t="s">
        <v>64</v>
      </c>
    </row>
    <row r="19" spans="1:8">
      <c r="A19" s="2" t="s">
        <v>401</v>
      </c>
      <c r="B19" s="7" t="s">
        <v>393</v>
      </c>
      <c r="C19" s="2" t="s">
        <v>402</v>
      </c>
      <c r="D19" s="2" t="s">
        <v>403</v>
      </c>
      <c r="E19" s="2" t="s">
        <v>404</v>
      </c>
      <c r="F19" s="3" t="s">
        <v>138</v>
      </c>
      <c r="G19" s="3" t="s">
        <v>334</v>
      </c>
      <c r="H19" s="3" t="s">
        <v>64</v>
      </c>
    </row>
  </sheetData>
  <autoFilter xmlns:etc="http://www.wps.cn/officeDocument/2017/etCustomData" ref="A1:H19" etc:filterBottomFollowUsedRange="0">
    <extLst/>
  </autoFilter>
  <dataValidations count="1">
    <dataValidation type="list" sqref="F2:F19">
      <formula1>"待确认,处理中,已关闭,接受风险,暂缓"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5" outlineLevelCol="5"/>
  <cols>
    <col min="1" max="1" width="10" customWidth="1"/>
    <col min="2" max="2" width="22" customWidth="1"/>
    <col min="3" max="3" width="55" customWidth="1"/>
    <col min="4" max="4" width="60" customWidth="1"/>
    <col min="5" max="5" width="35" customWidth="1"/>
    <col min="6" max="6" width="55" customWidth="1"/>
  </cols>
  <sheetData>
    <row r="1" spans="1:6">
      <c r="A1" s="1" t="s">
        <v>405</v>
      </c>
      <c r="B1" s="1" t="s">
        <v>406</v>
      </c>
      <c r="C1" s="1" t="s">
        <v>407</v>
      </c>
      <c r="D1" s="1" t="s">
        <v>408</v>
      </c>
      <c r="E1" s="1" t="s">
        <v>409</v>
      </c>
      <c r="F1" s="1" t="s">
        <v>410</v>
      </c>
    </row>
    <row r="2" ht="27" spans="1:6">
      <c r="A2" s="2" t="s">
        <v>411</v>
      </c>
      <c r="B2" s="2" t="s">
        <v>412</v>
      </c>
      <c r="C2" s="2" t="s">
        <v>413</v>
      </c>
      <c r="D2" s="2" t="s">
        <v>414</v>
      </c>
      <c r="E2" s="2" t="s">
        <v>415</v>
      </c>
      <c r="F2" s="2" t="s">
        <v>416</v>
      </c>
    </row>
    <row r="3" spans="1:6">
      <c r="A3" s="2" t="s">
        <v>88</v>
      </c>
      <c r="B3" s="2" t="s">
        <v>417</v>
      </c>
      <c r="C3" s="2" t="s">
        <v>418</v>
      </c>
      <c r="D3" s="2" t="s">
        <v>419</v>
      </c>
      <c r="E3" s="2" t="s">
        <v>420</v>
      </c>
      <c r="F3" s="2" t="s">
        <v>421</v>
      </c>
    </row>
    <row r="4" spans="1:6">
      <c r="A4" s="2" t="s">
        <v>232</v>
      </c>
      <c r="B4" s="2" t="s">
        <v>422</v>
      </c>
      <c r="C4" s="2" t="s">
        <v>423</v>
      </c>
      <c r="D4" s="2" t="s">
        <v>424</v>
      </c>
      <c r="E4" s="2" t="s">
        <v>425</v>
      </c>
      <c r="F4" s="2" t="s">
        <v>426</v>
      </c>
    </row>
    <row r="5" spans="1:6">
      <c r="A5" s="2" t="s">
        <v>81</v>
      </c>
      <c r="B5" s="2" t="s">
        <v>427</v>
      </c>
      <c r="C5" s="2" t="s">
        <v>428</v>
      </c>
      <c r="D5" s="2" t="s">
        <v>429</v>
      </c>
      <c r="E5" s="2" t="s">
        <v>430</v>
      </c>
      <c r="F5" s="2" t="s">
        <v>431</v>
      </c>
    </row>
    <row r="6" ht="27" spans="1:6">
      <c r="A6" s="2" t="s">
        <v>432</v>
      </c>
      <c r="B6" s="2" t="s">
        <v>433</v>
      </c>
      <c r="C6" s="2" t="s">
        <v>434</v>
      </c>
      <c r="D6" s="2" t="s">
        <v>435</v>
      </c>
      <c r="E6" s="2" t="s">
        <v>436</v>
      </c>
      <c r="F6" s="2" t="s">
        <v>437</v>
      </c>
    </row>
  </sheetData>
  <autoFilter xmlns:etc="http://www.wps.cn/officeDocument/2017/etCustomData" ref="A1:F6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4"/>
  <cols>
    <col min="1" max="1" width="20" customWidth="1"/>
    <col min="2" max="2" width="45" customWidth="1"/>
    <col min="3" max="3" width="70" customWidth="1"/>
    <col min="4" max="4" width="28" customWidth="1"/>
    <col min="5" max="5" width="38" customWidth="1"/>
  </cols>
  <sheetData>
    <row r="1" ht="15" spans="1:5">
      <c r="A1" s="1" t="s">
        <v>438</v>
      </c>
      <c r="B1" s="1" t="s">
        <v>439</v>
      </c>
      <c r="C1" s="1" t="s">
        <v>440</v>
      </c>
      <c r="D1" s="1" t="s">
        <v>327</v>
      </c>
      <c r="E1" s="1" t="s">
        <v>441</v>
      </c>
    </row>
    <row r="2" spans="1:5">
      <c r="A2" s="2" t="s">
        <v>442</v>
      </c>
      <c r="B2" s="2" t="s">
        <v>443</v>
      </c>
      <c r="C2" s="2" t="s">
        <v>444</v>
      </c>
      <c r="D2" s="2" t="s">
        <v>445</v>
      </c>
      <c r="E2" s="2" t="s">
        <v>446</v>
      </c>
    </row>
    <row r="3" ht="27" spans="1:5">
      <c r="A3" s="2" t="s">
        <v>447</v>
      </c>
      <c r="B3" s="2" t="s">
        <v>448</v>
      </c>
      <c r="C3" s="2" t="s">
        <v>449</v>
      </c>
      <c r="D3" s="2" t="s">
        <v>450</v>
      </c>
      <c r="E3" s="2" t="s">
        <v>451</v>
      </c>
    </row>
    <row r="4" spans="1:5">
      <c r="A4" s="2" t="s">
        <v>452</v>
      </c>
      <c r="B4" s="2" t="s">
        <v>453</v>
      </c>
      <c r="C4" s="2" t="s">
        <v>454</v>
      </c>
      <c r="D4" s="2" t="s">
        <v>455</v>
      </c>
      <c r="E4" s="2" t="s">
        <v>456</v>
      </c>
    </row>
    <row r="5" spans="1:5">
      <c r="A5" s="2" t="s">
        <v>457</v>
      </c>
      <c r="B5" s="2" t="s">
        <v>458</v>
      </c>
      <c r="C5" s="2" t="s">
        <v>459</v>
      </c>
      <c r="D5" s="2" t="s">
        <v>450</v>
      </c>
      <c r="E5" s="2" t="s">
        <v>460</v>
      </c>
    </row>
    <row r="6" spans="1:5">
      <c r="A6" s="2" t="s">
        <v>169</v>
      </c>
      <c r="B6" s="2" t="s">
        <v>461</v>
      </c>
      <c r="C6" s="2" t="s">
        <v>462</v>
      </c>
      <c r="D6" s="2" t="s">
        <v>463</v>
      </c>
      <c r="E6" s="2" t="s">
        <v>464</v>
      </c>
    </row>
    <row r="7" spans="1:5">
      <c r="A7" s="2" t="s">
        <v>465</v>
      </c>
      <c r="B7" s="2" t="s">
        <v>466</v>
      </c>
      <c r="C7" s="2" t="s">
        <v>467</v>
      </c>
      <c r="D7" s="2" t="s">
        <v>468</v>
      </c>
      <c r="E7" s="2" t="s">
        <v>469</v>
      </c>
    </row>
    <row r="8" spans="1:5">
      <c r="A8" s="2" t="s">
        <v>470</v>
      </c>
      <c r="B8" s="2" t="s">
        <v>471</v>
      </c>
      <c r="C8" s="2" t="s">
        <v>472</v>
      </c>
      <c r="D8" s="2" t="s">
        <v>473</v>
      </c>
      <c r="E8" s="2" t="s">
        <v>474</v>
      </c>
    </row>
    <row r="9" spans="1:5">
      <c r="A9" s="2" t="s">
        <v>475</v>
      </c>
      <c r="B9" s="2" t="s">
        <v>476</v>
      </c>
      <c r="C9" s="2" t="s">
        <v>477</v>
      </c>
      <c r="D9" s="2" t="s">
        <v>478</v>
      </c>
      <c r="E9" s="2" t="s">
        <v>479</v>
      </c>
    </row>
    <row r="10" spans="1:5">
      <c r="A10" s="2" t="s">
        <v>480</v>
      </c>
      <c r="B10" s="2" t="s">
        <v>481</v>
      </c>
      <c r="C10" s="2" t="s">
        <v>482</v>
      </c>
      <c r="D10" s="2" t="s">
        <v>483</v>
      </c>
      <c r="E10" s="2" t="s">
        <v>484</v>
      </c>
    </row>
  </sheetData>
  <autoFilter xmlns:etc="http://www.wps.cn/officeDocument/2017/etCustomData" ref="A1:E10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6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A1" sqref="A1:F1"/>
    </sheetView>
  </sheetViews>
  <sheetFormatPr defaultColWidth="9" defaultRowHeight="13.5" outlineLevelCol="5"/>
  <cols>
    <col min="1" max="1" width="4" customWidth="1"/>
    <col min="2" max="2" width="8" customWidth="1"/>
    <col min="3" max="3" width="22" customWidth="1"/>
    <col min="4" max="4" width="100" customWidth="1"/>
    <col min="5" max="5" width="12" customWidth="1"/>
    <col min="6" max="6" width="24" customWidth="1"/>
  </cols>
  <sheetData>
    <row r="1" ht="15" spans="1:6">
      <c r="A1" s="4" t="s">
        <v>485</v>
      </c>
    </row>
    <row r="2" ht="27" spans="1:6">
      <c r="A2" s="5" t="s">
        <v>486</v>
      </c>
      <c r="B2" s="5" t="s">
        <v>17</v>
      </c>
      <c r="C2" s="5" t="s">
        <v>487</v>
      </c>
      <c r="D2" s="5" t="s">
        <v>488</v>
      </c>
      <c r="E2" s="5" t="s">
        <v>489</v>
      </c>
      <c r="F2" s="5" t="s">
        <v>490</v>
      </c>
    </row>
    <row r="3" spans="1:6">
      <c r="A3" s="2"/>
      <c r="B3" s="2">
        <v>1</v>
      </c>
      <c r="C3" s="2" t="s">
        <v>491</v>
      </c>
      <c r="D3" s="2" t="s">
        <v>492</v>
      </c>
      <c r="E3" s="2" t="b">
        <v>1</v>
      </c>
      <c r="F3" s="2" t="s">
        <v>493</v>
      </c>
    </row>
    <row r="4" spans="1:6">
      <c r="A4" s="2"/>
      <c r="B4" s="2">
        <v>2</v>
      </c>
      <c r="C4" s="2" t="s">
        <v>494</v>
      </c>
      <c r="D4" s="2" t="s">
        <v>495</v>
      </c>
      <c r="E4" s="2" t="b">
        <v>1</v>
      </c>
      <c r="F4" s="2" t="s">
        <v>493</v>
      </c>
    </row>
    <row r="5" ht="27" spans="1:6">
      <c r="A5" s="2"/>
      <c r="B5" s="2">
        <v>3</v>
      </c>
      <c r="C5" s="2" t="s">
        <v>496</v>
      </c>
      <c r="D5" s="2" t="s">
        <v>497</v>
      </c>
      <c r="E5" s="2" t="b">
        <v>1</v>
      </c>
      <c r="F5" s="2" t="s">
        <v>493</v>
      </c>
    </row>
    <row r="6" ht="27" spans="1:6">
      <c r="A6" s="2"/>
      <c r="B6" s="2">
        <v>4</v>
      </c>
      <c r="C6" s="2" t="s">
        <v>498</v>
      </c>
      <c r="D6" s="2" t="s">
        <v>499</v>
      </c>
      <c r="E6" s="2" t="b">
        <v>1</v>
      </c>
      <c r="F6" s="2" t="s">
        <v>493</v>
      </c>
    </row>
    <row r="7" spans="1:6">
      <c r="A7" s="2"/>
      <c r="B7" s="2">
        <v>5</v>
      </c>
      <c r="C7" s="2" t="s">
        <v>500</v>
      </c>
      <c r="D7" s="2" t="s">
        <v>501</v>
      </c>
      <c r="E7" s="2" t="b">
        <v>1</v>
      </c>
      <c r="F7" s="2" t="s">
        <v>502</v>
      </c>
    </row>
    <row r="8" ht="121.5" spans="1:6">
      <c r="A8" s="2"/>
      <c r="B8" s="2">
        <v>6</v>
      </c>
      <c r="C8" s="2" t="s">
        <v>503</v>
      </c>
      <c r="D8" s="2" t="s">
        <v>504</v>
      </c>
      <c r="E8" s="2" t="b">
        <v>1</v>
      </c>
      <c r="F8" s="2" t="s">
        <v>493</v>
      </c>
    </row>
    <row r="9" spans="1:6">
      <c r="A9" s="2"/>
      <c r="B9" s="2">
        <v>7</v>
      </c>
      <c r="C9" s="2" t="s">
        <v>505</v>
      </c>
      <c r="D9" s="2" t="s">
        <v>506</v>
      </c>
      <c r="E9" s="2" t="b">
        <v>0</v>
      </c>
      <c r="F9" s="2" t="s">
        <v>493</v>
      </c>
    </row>
    <row r="10" spans="1:6">
      <c r="A10" s="2"/>
      <c r="B10" s="2">
        <v>8</v>
      </c>
      <c r="C10" s="2" t="s">
        <v>507</v>
      </c>
      <c r="D10" s="2" t="s">
        <v>508</v>
      </c>
      <c r="E10" s="2" t="b">
        <v>1</v>
      </c>
      <c r="F10" s="2" t="s">
        <v>493</v>
      </c>
    </row>
    <row r="11" spans="1:6">
      <c r="A11" s="2"/>
      <c r="B11" s="2">
        <v>9</v>
      </c>
      <c r="C11" s="2" t="s">
        <v>509</v>
      </c>
      <c r="D11" s="2" t="s">
        <v>510</v>
      </c>
      <c r="E11" s="2" t="b">
        <v>1</v>
      </c>
      <c r="F11" s="2" t="s">
        <v>493</v>
      </c>
    </row>
    <row r="12" spans="1:6">
      <c r="A12" s="2"/>
      <c r="B12" s="2">
        <v>10</v>
      </c>
      <c r="C12" s="2" t="s">
        <v>511</v>
      </c>
      <c r="D12" s="2" t="s">
        <v>512</v>
      </c>
      <c r="E12" s="2" t="b">
        <v>1</v>
      </c>
      <c r="F12" s="2" t="s">
        <v>493</v>
      </c>
    </row>
    <row r="13" spans="1:6">
      <c r="A13" s="2"/>
      <c r="B13" s="2">
        <v>11</v>
      </c>
      <c r="C13" s="2" t="s">
        <v>513</v>
      </c>
      <c r="D13" s="2" t="s">
        <v>514</v>
      </c>
      <c r="E13" s="2" t="b">
        <v>1</v>
      </c>
      <c r="F13" s="2" t="s">
        <v>493</v>
      </c>
    </row>
    <row r="14" ht="27" spans="1:6">
      <c r="A14" s="2"/>
      <c r="B14" s="2">
        <v>12</v>
      </c>
      <c r="C14" s="2" t="s">
        <v>515</v>
      </c>
      <c r="D14" s="2" t="s">
        <v>516</v>
      </c>
      <c r="E14" s="2" t="b">
        <v>1</v>
      </c>
      <c r="F14" s="2" t="s">
        <v>493</v>
      </c>
    </row>
    <row r="15" ht="40.5" spans="1:6">
      <c r="A15" s="2"/>
      <c r="B15" s="2">
        <v>13</v>
      </c>
      <c r="C15" s="2" t="s">
        <v>517</v>
      </c>
      <c r="D15" s="2" t="s">
        <v>518</v>
      </c>
      <c r="E15" s="2" t="b">
        <v>1</v>
      </c>
      <c r="F15" s="2" t="s">
        <v>493</v>
      </c>
    </row>
    <row r="16" ht="27" spans="1:6">
      <c r="A16" s="2"/>
      <c r="B16" s="2">
        <v>14</v>
      </c>
      <c r="C16" s="2" t="s">
        <v>519</v>
      </c>
      <c r="D16" s="2" t="s">
        <v>520</v>
      </c>
      <c r="E16" s="2" t="b">
        <v>1</v>
      </c>
      <c r="F16" s="2" t="s">
        <v>493</v>
      </c>
    </row>
    <row r="17" spans="1:6">
      <c r="A17" s="2"/>
      <c r="B17" s="2">
        <v>15</v>
      </c>
      <c r="C17" s="2" t="s">
        <v>521</v>
      </c>
      <c r="D17" s="2" t="s">
        <v>522</v>
      </c>
      <c r="E17" s="2" t="b">
        <v>1</v>
      </c>
      <c r="F17" s="2" t="s">
        <v>493</v>
      </c>
    </row>
    <row r="18" ht="40.5" spans="1:6">
      <c r="A18" s="2"/>
      <c r="B18" s="2">
        <v>16</v>
      </c>
      <c r="C18" s="2" t="s">
        <v>523</v>
      </c>
      <c r="D18" s="2" t="s">
        <v>524</v>
      </c>
      <c r="E18" s="2" t="b">
        <v>1</v>
      </c>
      <c r="F18" s="2" t="s">
        <v>493</v>
      </c>
    </row>
    <row r="19" spans="1:6">
      <c r="A19" s="2"/>
      <c r="B19" s="2">
        <v>17</v>
      </c>
      <c r="C19" s="2" t="s">
        <v>525</v>
      </c>
      <c r="D19" s="2" t="s">
        <v>526</v>
      </c>
      <c r="E19" s="2" t="b">
        <v>0</v>
      </c>
      <c r="F19" s="2" t="s">
        <v>493</v>
      </c>
    </row>
    <row r="20" ht="27" spans="1:6">
      <c r="A20" s="2"/>
      <c r="B20" s="2">
        <v>18</v>
      </c>
      <c r="C20" s="2" t="s">
        <v>527</v>
      </c>
      <c r="D20" s="2" t="s">
        <v>528</v>
      </c>
      <c r="E20" s="2" t="b">
        <v>1</v>
      </c>
      <c r="F20" s="2" t="s">
        <v>493</v>
      </c>
    </row>
    <row r="21" spans="1:6">
      <c r="A21" s="2"/>
      <c r="B21" s="2">
        <v>19</v>
      </c>
      <c r="C21" s="2" t="s">
        <v>529</v>
      </c>
      <c r="D21" s="2" t="s">
        <v>530</v>
      </c>
      <c r="E21" s="2" t="b">
        <v>0</v>
      </c>
      <c r="F21" s="2" t="s">
        <v>493</v>
      </c>
    </row>
    <row r="22" spans="1:6">
      <c r="A22" s="2"/>
      <c r="B22" s="2">
        <v>20</v>
      </c>
      <c r="C22" s="2" t="s">
        <v>531</v>
      </c>
      <c r="D22" s="2" t="s">
        <v>532</v>
      </c>
      <c r="E22" s="2" t="b">
        <v>0</v>
      </c>
      <c r="F22" s="2" t="s">
        <v>493</v>
      </c>
    </row>
    <row r="23" spans="1:6">
      <c r="A23" s="2"/>
      <c r="B23" s="2">
        <v>21</v>
      </c>
      <c r="C23" s="2" t="s">
        <v>533</v>
      </c>
      <c r="D23" s="2" t="s">
        <v>534</v>
      </c>
      <c r="E23" s="2" t="b">
        <v>0</v>
      </c>
      <c r="F23" s="2" t="s">
        <v>493</v>
      </c>
    </row>
    <row r="24" spans="1:6">
      <c r="A24" s="2"/>
      <c r="B24" s="2">
        <v>22</v>
      </c>
      <c r="C24" s="2" t="s">
        <v>535</v>
      </c>
      <c r="D24" s="2" t="s">
        <v>536</v>
      </c>
      <c r="E24" s="2" t="b">
        <v>1</v>
      </c>
      <c r="F24" s="2" t="s">
        <v>493</v>
      </c>
    </row>
    <row r="25" ht="40.5" spans="1:6">
      <c r="A25" s="2"/>
      <c r="B25" s="2">
        <v>23</v>
      </c>
      <c r="C25" s="2" t="s">
        <v>537</v>
      </c>
      <c r="D25" s="2" t="s">
        <v>538</v>
      </c>
      <c r="E25" s="2" t="b">
        <v>1</v>
      </c>
      <c r="F25" s="2" t="s">
        <v>493</v>
      </c>
    </row>
    <row r="26" spans="1:6">
      <c r="A26" s="2"/>
      <c r="B26" s="2">
        <v>24</v>
      </c>
      <c r="C26" s="2" t="s">
        <v>539</v>
      </c>
      <c r="D26" s="2" t="s">
        <v>540</v>
      </c>
      <c r="E26" s="2" t="b">
        <v>0</v>
      </c>
      <c r="F26" s="2" t="s">
        <v>493</v>
      </c>
    </row>
    <row r="27" ht="40.5" spans="1:6">
      <c r="A27" s="2"/>
      <c r="B27" s="2">
        <v>25</v>
      </c>
      <c r="C27" s="2" t="s">
        <v>541</v>
      </c>
      <c r="D27" s="2" t="s">
        <v>542</v>
      </c>
      <c r="E27" s="2" t="b">
        <v>1</v>
      </c>
      <c r="F27" s="2" t="s">
        <v>493</v>
      </c>
    </row>
    <row r="28" spans="1:6">
      <c r="A28" s="2"/>
      <c r="B28" s="2">
        <v>26</v>
      </c>
      <c r="C28" s="2" t="s">
        <v>543</v>
      </c>
      <c r="D28" s="2" t="s">
        <v>544</v>
      </c>
      <c r="E28" s="2" t="b">
        <v>0</v>
      </c>
      <c r="F28" s="2" t="s">
        <v>493</v>
      </c>
    </row>
    <row r="29" ht="40.5" spans="1:6">
      <c r="A29" s="2"/>
      <c r="B29" s="2">
        <v>27</v>
      </c>
      <c r="C29" s="2" t="s">
        <v>545</v>
      </c>
      <c r="D29" s="2" t="s">
        <v>546</v>
      </c>
      <c r="E29" s="2" t="b">
        <v>1</v>
      </c>
      <c r="F29" s="2" t="s">
        <v>493</v>
      </c>
    </row>
    <row r="30" spans="1:6">
      <c r="A30" s="2"/>
      <c r="B30" s="2">
        <v>28</v>
      </c>
      <c r="C30" s="2" t="s">
        <v>547</v>
      </c>
      <c r="D30" s="2" t="s">
        <v>548</v>
      </c>
      <c r="E30" s="2" t="b">
        <v>0</v>
      </c>
      <c r="F30" s="2" t="s">
        <v>493</v>
      </c>
    </row>
    <row r="31" ht="40.5" spans="1:6">
      <c r="A31" s="2"/>
      <c r="B31" s="2">
        <v>29</v>
      </c>
      <c r="C31" s="2" t="s">
        <v>549</v>
      </c>
      <c r="D31" s="2" t="s">
        <v>550</v>
      </c>
      <c r="E31" s="2" t="b">
        <v>1</v>
      </c>
      <c r="F31" s="2" t="s">
        <v>493</v>
      </c>
    </row>
    <row r="32" spans="1:6">
      <c r="A32" s="2"/>
      <c r="B32" s="2">
        <v>30</v>
      </c>
      <c r="C32" s="2" t="s">
        <v>551</v>
      </c>
      <c r="D32" s="2" t="s">
        <v>552</v>
      </c>
      <c r="E32" s="2" t="b">
        <v>0</v>
      </c>
      <c r="F32" s="2" t="s">
        <v>493</v>
      </c>
    </row>
    <row r="33" ht="27" spans="1:6">
      <c r="A33" s="2"/>
      <c r="B33" s="2">
        <v>31</v>
      </c>
      <c r="C33" s="2" t="s">
        <v>553</v>
      </c>
      <c r="D33" s="2" t="s">
        <v>554</v>
      </c>
      <c r="E33" s="2" t="b">
        <v>1</v>
      </c>
      <c r="F33" s="2" t="s">
        <v>493</v>
      </c>
    </row>
    <row r="34" spans="1:6">
      <c r="A34" s="2"/>
      <c r="B34" s="2">
        <v>32</v>
      </c>
      <c r="C34" s="2" t="s">
        <v>555</v>
      </c>
      <c r="D34" s="2" t="s">
        <v>556</v>
      </c>
      <c r="E34" s="2" t="b">
        <v>0</v>
      </c>
      <c r="F34" s="2" t="s">
        <v>493</v>
      </c>
    </row>
    <row r="35" spans="1:6">
      <c r="A35" s="2"/>
      <c r="B35" s="2">
        <v>33</v>
      </c>
      <c r="C35" s="2" t="s">
        <v>557</v>
      </c>
      <c r="D35" s="2" t="s">
        <v>558</v>
      </c>
      <c r="E35" s="2" t="b">
        <v>1</v>
      </c>
      <c r="F35" s="2" t="s">
        <v>493</v>
      </c>
    </row>
    <row r="36" spans="1:6">
      <c r="A36" s="2"/>
      <c r="B36" s="2">
        <v>34</v>
      </c>
      <c r="C36" s="2" t="s">
        <v>559</v>
      </c>
      <c r="D36" s="2" t="s">
        <v>560</v>
      </c>
      <c r="E36" s="2" t="b">
        <v>1</v>
      </c>
      <c r="F36" s="2" t="s">
        <v>502</v>
      </c>
    </row>
    <row r="37" spans="1:6">
      <c r="A37" s="2"/>
      <c r="B37" s="2">
        <v>35</v>
      </c>
      <c r="C37" s="2" t="s">
        <v>561</v>
      </c>
      <c r="D37" s="2" t="s">
        <v>562</v>
      </c>
      <c r="E37" s="2" t="b">
        <v>1</v>
      </c>
      <c r="F37" s="2" t="s">
        <v>493</v>
      </c>
    </row>
    <row r="38" spans="1:6">
      <c r="A38" s="2"/>
      <c r="B38" s="2">
        <v>36</v>
      </c>
      <c r="C38" s="2" t="s">
        <v>563</v>
      </c>
      <c r="D38" s="2" t="s">
        <v>564</v>
      </c>
      <c r="E38" s="2" t="b">
        <v>1</v>
      </c>
      <c r="F38" s="2" t="s">
        <v>493</v>
      </c>
    </row>
    <row r="39" spans="1:6">
      <c r="A39" s="2"/>
      <c r="B39" s="2">
        <v>37</v>
      </c>
      <c r="C39" s="2" t="s">
        <v>565</v>
      </c>
      <c r="D39" s="2" t="s">
        <v>566</v>
      </c>
      <c r="E39" s="2" t="b">
        <v>0</v>
      </c>
      <c r="F39" s="2" t="s">
        <v>493</v>
      </c>
    </row>
    <row r="40" spans="1:6">
      <c r="A40" s="2"/>
      <c r="B40" s="2">
        <v>38</v>
      </c>
      <c r="C40" s="2" t="s">
        <v>567</v>
      </c>
      <c r="D40" s="2" t="s">
        <v>568</v>
      </c>
      <c r="E40" s="2" t="b">
        <v>0</v>
      </c>
      <c r="F40" s="2" t="s">
        <v>493</v>
      </c>
    </row>
    <row r="41" spans="1:6">
      <c r="A41" s="2"/>
      <c r="B41" s="2">
        <v>39</v>
      </c>
      <c r="C41" s="2" t="s">
        <v>569</v>
      </c>
      <c r="D41" s="2" t="s">
        <v>570</v>
      </c>
      <c r="E41" s="2" t="b">
        <v>0</v>
      </c>
      <c r="F41" s="2" t="s">
        <v>493</v>
      </c>
    </row>
    <row r="42" spans="1:6">
      <c r="A42" s="2"/>
      <c r="B42" s="2">
        <v>40</v>
      </c>
      <c r="C42" s="2" t="s">
        <v>571</v>
      </c>
      <c r="D42" s="2" t="s">
        <v>572</v>
      </c>
      <c r="E42" s="2" t="b">
        <v>1</v>
      </c>
      <c r="F42" s="2" t="s">
        <v>493</v>
      </c>
    </row>
    <row r="43" spans="1:6">
      <c r="A43" s="2"/>
      <c r="B43" s="2">
        <v>41</v>
      </c>
      <c r="C43" s="2" t="s">
        <v>573</v>
      </c>
      <c r="D43" s="2" t="s">
        <v>574</v>
      </c>
      <c r="E43" s="2" t="b">
        <v>1</v>
      </c>
      <c r="F43" s="2" t="s">
        <v>493</v>
      </c>
    </row>
    <row r="44" spans="1:6">
      <c r="A44" s="2"/>
      <c r="B44" s="2">
        <v>42</v>
      </c>
      <c r="C44" s="2" t="s">
        <v>575</v>
      </c>
      <c r="D44" s="2" t="s">
        <v>576</v>
      </c>
      <c r="E44" s="2" t="b">
        <v>1</v>
      </c>
      <c r="F44" s="2" t="s">
        <v>493</v>
      </c>
    </row>
    <row r="45" spans="1:6">
      <c r="A45" s="2"/>
      <c r="B45" s="2">
        <v>43</v>
      </c>
      <c r="C45" s="2" t="s">
        <v>577</v>
      </c>
      <c r="D45" s="2" t="s">
        <v>578</v>
      </c>
      <c r="E45" s="2" t="b">
        <v>0</v>
      </c>
      <c r="F45" s="2" t="s">
        <v>579</v>
      </c>
    </row>
    <row r="46" spans="1:6">
      <c r="A46" s="2"/>
      <c r="B46" s="2">
        <v>44</v>
      </c>
      <c r="C46" s="2" t="s">
        <v>580</v>
      </c>
      <c r="D46" s="2" t="s">
        <v>581</v>
      </c>
      <c r="E46" s="2" t="b">
        <v>0</v>
      </c>
      <c r="F46" s="2" t="s">
        <v>582</v>
      </c>
    </row>
    <row r="47" spans="1:6">
      <c r="A47" s="2"/>
      <c r="B47" s="2">
        <v>45</v>
      </c>
      <c r="C47" s="2" t="s">
        <v>505</v>
      </c>
      <c r="D47" s="2" t="s">
        <v>506</v>
      </c>
      <c r="E47" s="2" t="b">
        <v>0</v>
      </c>
      <c r="F47" s="2" t="s">
        <v>493</v>
      </c>
    </row>
    <row r="48" spans="1:6">
      <c r="A48" s="2"/>
      <c r="B48" s="2">
        <v>46</v>
      </c>
      <c r="C48" s="2" t="s">
        <v>583</v>
      </c>
      <c r="D48" s="2" t="s">
        <v>584</v>
      </c>
      <c r="E48" s="2" t="b">
        <v>0</v>
      </c>
      <c r="F48" s="2" t="s">
        <v>493</v>
      </c>
    </row>
    <row r="49" spans="1:6">
      <c r="A49" s="2"/>
      <c r="B49" s="2">
        <v>47</v>
      </c>
      <c r="C49" s="2" t="s">
        <v>585</v>
      </c>
      <c r="D49" s="2" t="s">
        <v>586</v>
      </c>
      <c r="E49" s="2" t="b">
        <v>0</v>
      </c>
      <c r="F49" s="2" t="s">
        <v>493</v>
      </c>
    </row>
    <row r="50" spans="1:6">
      <c r="A50" s="2"/>
      <c r="B50" s="2">
        <v>48</v>
      </c>
      <c r="C50" s="2" t="s">
        <v>587</v>
      </c>
      <c r="D50" s="2" t="s">
        <v>588</v>
      </c>
      <c r="E50" s="2" t="b">
        <v>0</v>
      </c>
      <c r="F50" s="2" t="s">
        <v>493</v>
      </c>
    </row>
    <row r="51" ht="27" spans="1:6">
      <c r="A51" s="2"/>
      <c r="B51" s="2">
        <v>49</v>
      </c>
      <c r="C51" s="2" t="s">
        <v>589</v>
      </c>
      <c r="D51" s="2" t="s">
        <v>590</v>
      </c>
      <c r="E51" s="2" t="b">
        <v>0</v>
      </c>
      <c r="F51" s="2" t="s">
        <v>493</v>
      </c>
    </row>
    <row r="52" spans="1:6">
      <c r="A52" s="2"/>
      <c r="B52" s="2">
        <v>50</v>
      </c>
      <c r="C52" s="2" t="s">
        <v>591</v>
      </c>
      <c r="D52" s="2" t="s">
        <v>592</v>
      </c>
      <c r="E52" s="2" t="b">
        <v>0</v>
      </c>
      <c r="F52" s="2" t="s">
        <v>493</v>
      </c>
    </row>
    <row r="53" spans="1:6">
      <c r="A53" s="2"/>
      <c r="B53" s="2">
        <v>51</v>
      </c>
      <c r="C53" s="2" t="s">
        <v>593</v>
      </c>
      <c r="D53" s="2" t="s">
        <v>594</v>
      </c>
      <c r="E53" s="2" t="b">
        <v>0</v>
      </c>
      <c r="F53" s="2" t="s">
        <v>595</v>
      </c>
    </row>
    <row r="54" spans="1:6">
      <c r="A54" s="2"/>
      <c r="B54" s="2">
        <v>52</v>
      </c>
      <c r="C54" s="2" t="s">
        <v>596</v>
      </c>
      <c r="D54" s="2" t="s">
        <v>597</v>
      </c>
      <c r="E54" s="2" t="b">
        <v>0</v>
      </c>
      <c r="F54" s="2" t="s">
        <v>595</v>
      </c>
    </row>
    <row r="55" spans="1:6">
      <c r="A55" s="2"/>
      <c r="B55" s="2">
        <v>53</v>
      </c>
      <c r="C55" s="2" t="s">
        <v>598</v>
      </c>
      <c r="D55" s="2" t="s">
        <v>599</v>
      </c>
      <c r="E55" s="2" t="b">
        <v>0</v>
      </c>
      <c r="F55" s="2" t="s">
        <v>595</v>
      </c>
    </row>
    <row r="56" spans="1:6">
      <c r="A56" s="2"/>
      <c r="B56" s="2">
        <v>54</v>
      </c>
      <c r="C56" s="2" t="s">
        <v>600</v>
      </c>
      <c r="D56" s="2" t="s">
        <v>601</v>
      </c>
      <c r="E56" s="2" t="b">
        <v>0</v>
      </c>
      <c r="F56" s="2" t="s">
        <v>595</v>
      </c>
    </row>
    <row r="57" spans="1:6">
      <c r="A57" s="2"/>
      <c r="B57" s="2">
        <v>55</v>
      </c>
      <c r="C57" s="2" t="s">
        <v>602</v>
      </c>
      <c r="D57" s="2" t="s">
        <v>603</v>
      </c>
      <c r="E57" s="2" t="b">
        <v>0</v>
      </c>
      <c r="F57" s="2" t="s">
        <v>493</v>
      </c>
    </row>
    <row r="58" spans="1:6">
      <c r="A58" s="2"/>
      <c r="B58" s="2">
        <v>56</v>
      </c>
      <c r="C58" s="2" t="s">
        <v>604</v>
      </c>
      <c r="D58" s="2" t="s">
        <v>605</v>
      </c>
      <c r="E58" s="2" t="b">
        <v>0</v>
      </c>
      <c r="F58" s="2" t="s">
        <v>595</v>
      </c>
    </row>
    <row r="59" ht="27" spans="1:6">
      <c r="A59" s="2"/>
      <c r="B59" s="2">
        <v>57</v>
      </c>
      <c r="C59" s="2" t="s">
        <v>606</v>
      </c>
      <c r="D59" s="2" t="s">
        <v>607</v>
      </c>
      <c r="E59" s="2" t="b">
        <v>0</v>
      </c>
      <c r="F59" s="2" t="s">
        <v>493</v>
      </c>
    </row>
    <row r="60" spans="1:6">
      <c r="A60" s="2"/>
      <c r="B60" s="2">
        <v>58</v>
      </c>
      <c r="C60" s="2" t="s">
        <v>608</v>
      </c>
      <c r="D60" s="2" t="s">
        <v>609</v>
      </c>
      <c r="E60" s="2" t="b">
        <v>0</v>
      </c>
      <c r="F60" s="2" t="s">
        <v>493</v>
      </c>
    </row>
    <row r="61" spans="1:6">
      <c r="A61" s="2"/>
      <c r="B61" s="2">
        <v>59</v>
      </c>
      <c r="C61" s="2" t="s">
        <v>610</v>
      </c>
      <c r="D61" s="2" t="s">
        <v>611</v>
      </c>
      <c r="E61" s="2" t="b">
        <v>0</v>
      </c>
      <c r="F61" s="2" t="s">
        <v>493</v>
      </c>
    </row>
    <row r="62" spans="1:6">
      <c r="A62" s="2"/>
      <c r="B62" s="2">
        <v>60</v>
      </c>
      <c r="C62" s="2" t="s">
        <v>612</v>
      </c>
      <c r="D62" s="2" t="s">
        <v>613</v>
      </c>
      <c r="E62" s="2" t="b">
        <v>0</v>
      </c>
      <c r="F62" s="2" t="s">
        <v>493</v>
      </c>
    </row>
    <row r="63" spans="1:6">
      <c r="A63" s="2"/>
      <c r="B63" s="2">
        <v>61</v>
      </c>
      <c r="C63" s="2" t="s">
        <v>614</v>
      </c>
      <c r="D63" s="2" t="s">
        <v>615</v>
      </c>
      <c r="E63" s="2" t="b">
        <v>0</v>
      </c>
      <c r="F63" s="2" t="s">
        <v>493</v>
      </c>
    </row>
    <row r="64" spans="1:6">
      <c r="A64" s="2"/>
      <c r="B64" s="2">
        <v>62</v>
      </c>
      <c r="C64" s="2" t="s">
        <v>616</v>
      </c>
      <c r="D64" s="2" t="s">
        <v>617</v>
      </c>
      <c r="E64" s="2" t="b">
        <v>0</v>
      </c>
      <c r="F64" s="2" t="s">
        <v>493</v>
      </c>
    </row>
    <row r="65" spans="1:6">
      <c r="A65" s="2"/>
      <c r="B65" s="2">
        <v>63</v>
      </c>
      <c r="C65" s="2" t="s">
        <v>618</v>
      </c>
      <c r="D65" s="2" t="s">
        <v>619</v>
      </c>
      <c r="E65" s="2" t="b">
        <v>0</v>
      </c>
      <c r="F65" s="2" t="s">
        <v>493</v>
      </c>
    </row>
    <row r="66" spans="1:6">
      <c r="A66" s="2"/>
      <c r="B66" s="2">
        <v>64</v>
      </c>
      <c r="C66" s="2" t="s">
        <v>620</v>
      </c>
      <c r="D66" s="2" t="s">
        <v>621</v>
      </c>
      <c r="E66" s="2" t="b">
        <v>0</v>
      </c>
      <c r="F66" s="2" t="s">
        <v>493</v>
      </c>
    </row>
    <row r="67" spans="1:6">
      <c r="A67" s="2"/>
      <c r="B67" s="2">
        <v>65</v>
      </c>
      <c r="C67" s="2" t="s">
        <v>622</v>
      </c>
      <c r="D67" s="2" t="s">
        <v>623</v>
      </c>
      <c r="E67" s="2" t="b">
        <v>0</v>
      </c>
      <c r="F67" s="2" t="s">
        <v>493</v>
      </c>
    </row>
    <row r="68" spans="1:6">
      <c r="A68" s="2"/>
      <c r="B68" s="2">
        <v>66</v>
      </c>
      <c r="C68" s="2" t="s">
        <v>624</v>
      </c>
      <c r="D68" s="2" t="s">
        <v>625</v>
      </c>
      <c r="E68" s="2" t="b">
        <v>0</v>
      </c>
      <c r="F68" s="2" t="s">
        <v>493</v>
      </c>
    </row>
    <row r="69" spans="1:6">
      <c r="A69" s="2"/>
      <c r="B69" s="2">
        <v>67</v>
      </c>
      <c r="C69" s="2" t="s">
        <v>626</v>
      </c>
      <c r="D69" s="2" t="s">
        <v>627</v>
      </c>
      <c r="E69" s="2" t="b">
        <v>0</v>
      </c>
      <c r="F69" s="2" t="s">
        <v>493</v>
      </c>
    </row>
    <row r="70" spans="1:6">
      <c r="A70" s="2"/>
      <c r="B70" s="2">
        <v>68</v>
      </c>
      <c r="C70" s="2" t="s">
        <v>628</v>
      </c>
      <c r="D70" s="2" t="s">
        <v>629</v>
      </c>
      <c r="E70" s="2" t="b">
        <v>0</v>
      </c>
      <c r="F70" s="2" t="s">
        <v>493</v>
      </c>
    </row>
    <row r="71" spans="1:6">
      <c r="A71" s="2"/>
      <c r="B71" s="2">
        <v>69</v>
      </c>
      <c r="C71" s="2" t="s">
        <v>630</v>
      </c>
      <c r="D71" s="2" t="s">
        <v>631</v>
      </c>
      <c r="E71" s="2" t="b">
        <v>1</v>
      </c>
      <c r="F71" s="2" t="s">
        <v>493</v>
      </c>
    </row>
    <row r="72" spans="1:6">
      <c r="A72" s="2"/>
      <c r="B72" s="2">
        <v>70</v>
      </c>
      <c r="C72" s="2" t="s">
        <v>632</v>
      </c>
      <c r="D72" s="2" t="s">
        <v>633</v>
      </c>
      <c r="E72" s="2" t="b">
        <v>1</v>
      </c>
      <c r="F72" s="2" t="s">
        <v>493</v>
      </c>
    </row>
    <row r="73" spans="1:6">
      <c r="A73" s="2"/>
      <c r="B73" s="2">
        <v>71</v>
      </c>
      <c r="C73" s="2" t="s">
        <v>634</v>
      </c>
      <c r="D73" s="2" t="s">
        <v>635</v>
      </c>
      <c r="E73" s="2" t="b">
        <v>1</v>
      </c>
      <c r="F73" s="2" t="s">
        <v>493</v>
      </c>
    </row>
    <row r="74" spans="1:6">
      <c r="A74" s="2"/>
      <c r="B74" s="2">
        <v>72</v>
      </c>
      <c r="C74" s="2" t="s">
        <v>636</v>
      </c>
      <c r="D74" s="2" t="s">
        <v>637</v>
      </c>
      <c r="E74" s="2" t="b">
        <v>1</v>
      </c>
      <c r="F74" s="2" t="s">
        <v>638</v>
      </c>
    </row>
    <row r="75" ht="27" spans="1:6">
      <c r="A75" s="2"/>
      <c r="B75" s="2">
        <v>73</v>
      </c>
      <c r="C75" s="2" t="s">
        <v>639</v>
      </c>
      <c r="D75" s="2" t="s">
        <v>640</v>
      </c>
      <c r="E75" s="2" t="b">
        <v>1</v>
      </c>
      <c r="F75" s="2" t="s">
        <v>493</v>
      </c>
    </row>
    <row r="76" spans="1:6">
      <c r="A76" s="2"/>
      <c r="B76" s="2">
        <v>74</v>
      </c>
      <c r="C76" s="2" t="s">
        <v>641</v>
      </c>
      <c r="D76" s="2"/>
      <c r="E76" s="2" t="b">
        <v>0</v>
      </c>
      <c r="F76" s="2" t="s">
        <v>493</v>
      </c>
    </row>
    <row r="77" spans="1:6">
      <c r="A77" s="2"/>
      <c r="B77" s="2">
        <v>75</v>
      </c>
      <c r="C77" s="2" t="s">
        <v>642</v>
      </c>
      <c r="D77" s="2" t="s">
        <v>643</v>
      </c>
      <c r="E77" s="2" t="b">
        <v>0</v>
      </c>
      <c r="F77" s="2" t="s">
        <v>493</v>
      </c>
    </row>
    <row r="78" spans="1:6">
      <c r="A78" s="2"/>
      <c r="B78" s="2">
        <v>76</v>
      </c>
      <c r="C78" s="2" t="s">
        <v>644</v>
      </c>
      <c r="D78" s="2" t="s">
        <v>645</v>
      </c>
      <c r="E78" s="2" t="b">
        <v>0</v>
      </c>
      <c r="F78" s="2" t="s">
        <v>582</v>
      </c>
    </row>
    <row r="79" spans="1:6">
      <c r="A79" s="2"/>
      <c r="B79" s="2">
        <v>77</v>
      </c>
      <c r="C79" s="2" t="s">
        <v>646</v>
      </c>
      <c r="D79" s="2" t="s">
        <v>647</v>
      </c>
      <c r="E79" s="2" t="b">
        <v>1</v>
      </c>
      <c r="F79" s="2" t="s">
        <v>638</v>
      </c>
    </row>
    <row r="80" spans="1:6">
      <c r="A80" s="2"/>
      <c r="B80" s="2">
        <v>78</v>
      </c>
      <c r="C80" s="2" t="s">
        <v>648</v>
      </c>
      <c r="D80" s="2" t="s">
        <v>649</v>
      </c>
      <c r="E80" s="2" t="b">
        <v>1</v>
      </c>
      <c r="F80" s="2" t="s">
        <v>493</v>
      </c>
    </row>
    <row r="81" spans="1:6">
      <c r="A81" s="2"/>
      <c r="B81" s="2">
        <v>79</v>
      </c>
      <c r="C81" s="2" t="s">
        <v>650</v>
      </c>
      <c r="D81" s="2" t="s">
        <v>651</v>
      </c>
      <c r="E81" s="2" t="b">
        <v>0</v>
      </c>
      <c r="F81" s="2" t="s">
        <v>493</v>
      </c>
    </row>
    <row r="82" spans="1:6">
      <c r="A82" s="2"/>
      <c r="B82" s="2">
        <v>80</v>
      </c>
      <c r="C82" s="2" t="s">
        <v>644</v>
      </c>
      <c r="D82" s="2" t="s">
        <v>652</v>
      </c>
      <c r="E82" s="2" t="b">
        <v>0</v>
      </c>
      <c r="F82" s="2" t="s">
        <v>582</v>
      </c>
    </row>
    <row r="83" spans="1:6">
      <c r="A83" s="2"/>
      <c r="B83" s="2">
        <v>81</v>
      </c>
      <c r="C83" s="2" t="s">
        <v>653</v>
      </c>
      <c r="D83" s="2" t="s">
        <v>654</v>
      </c>
      <c r="E83" s="2" t="b">
        <v>1</v>
      </c>
      <c r="F83" s="2" t="s">
        <v>638</v>
      </c>
    </row>
    <row r="84" spans="1:6">
      <c r="A84" s="2"/>
      <c r="B84" s="2">
        <v>82</v>
      </c>
      <c r="C84" s="2" t="s">
        <v>655</v>
      </c>
      <c r="D84" s="2" t="s">
        <v>656</v>
      </c>
      <c r="E84" s="2" t="b">
        <v>1</v>
      </c>
      <c r="F84" s="2" t="s">
        <v>493</v>
      </c>
    </row>
    <row r="85" spans="1:6">
      <c r="A85" s="2"/>
      <c r="B85" s="2">
        <v>83</v>
      </c>
      <c r="C85" s="2" t="s">
        <v>657</v>
      </c>
      <c r="D85" s="2" t="s">
        <v>658</v>
      </c>
      <c r="E85" s="2" t="b">
        <v>0</v>
      </c>
      <c r="F85" s="2" t="s">
        <v>493</v>
      </c>
    </row>
    <row r="86" spans="1:6">
      <c r="A86" s="2"/>
      <c r="B86" s="2">
        <v>84</v>
      </c>
      <c r="C86" s="2" t="s">
        <v>644</v>
      </c>
      <c r="D86" s="2" t="s">
        <v>659</v>
      </c>
      <c r="E86" s="2" t="b">
        <v>0</v>
      </c>
      <c r="F86" s="2" t="s">
        <v>582</v>
      </c>
    </row>
    <row r="87" spans="1:6">
      <c r="A87" s="2"/>
      <c r="B87" s="2">
        <v>85</v>
      </c>
      <c r="C87" s="2" t="s">
        <v>660</v>
      </c>
      <c r="D87" s="2" t="s">
        <v>661</v>
      </c>
      <c r="E87" s="2" t="b">
        <v>1</v>
      </c>
      <c r="F87" s="2" t="s">
        <v>638</v>
      </c>
    </row>
    <row r="88" spans="1:6">
      <c r="A88" s="2"/>
      <c r="B88" s="2">
        <v>86</v>
      </c>
      <c r="C88" s="2" t="s">
        <v>662</v>
      </c>
      <c r="D88" s="2" t="s">
        <v>663</v>
      </c>
      <c r="E88" s="2" t="b">
        <v>1</v>
      </c>
      <c r="F88" s="2" t="s">
        <v>493</v>
      </c>
    </row>
    <row r="89" spans="1:6">
      <c r="A89" s="2"/>
      <c r="B89" s="2">
        <v>87</v>
      </c>
      <c r="C89" s="2" t="s">
        <v>664</v>
      </c>
      <c r="D89" s="2" t="s">
        <v>665</v>
      </c>
      <c r="E89" s="2" t="b">
        <v>0</v>
      </c>
      <c r="F89" s="2" t="s">
        <v>493</v>
      </c>
    </row>
    <row r="90" spans="1:6">
      <c r="A90" s="2"/>
      <c r="B90" s="2">
        <v>88</v>
      </c>
      <c r="C90" s="2" t="s">
        <v>644</v>
      </c>
      <c r="D90" s="2" t="s">
        <v>666</v>
      </c>
      <c r="E90" s="2" t="b">
        <v>0</v>
      </c>
      <c r="F90" s="2" t="s">
        <v>582</v>
      </c>
    </row>
    <row r="91" spans="1:6">
      <c r="A91" s="2"/>
      <c r="B91" s="2">
        <v>89</v>
      </c>
      <c r="C91" s="2" t="s">
        <v>667</v>
      </c>
      <c r="D91" s="2" t="s">
        <v>668</v>
      </c>
      <c r="E91" s="2" t="b">
        <v>1</v>
      </c>
      <c r="F91" s="2" t="s">
        <v>638</v>
      </c>
    </row>
    <row r="92" spans="1:6">
      <c r="A92" s="2"/>
      <c r="B92" s="2">
        <v>90</v>
      </c>
      <c r="C92" s="2" t="s">
        <v>669</v>
      </c>
      <c r="D92" s="2" t="s">
        <v>670</v>
      </c>
      <c r="E92" s="2" t="b">
        <v>1</v>
      </c>
      <c r="F92" s="2" t="s">
        <v>493</v>
      </c>
    </row>
    <row r="93" spans="1:6">
      <c r="A93" s="2"/>
      <c r="B93" s="2">
        <v>91</v>
      </c>
      <c r="C93" s="2" t="s">
        <v>610</v>
      </c>
      <c r="D93" s="2" t="s">
        <v>611</v>
      </c>
      <c r="E93" s="2" t="b">
        <v>0</v>
      </c>
      <c r="F93" s="2" t="s">
        <v>493</v>
      </c>
    </row>
    <row r="94" spans="1:6">
      <c r="A94" s="2"/>
      <c r="B94" s="2">
        <v>92</v>
      </c>
      <c r="C94" s="2" t="s">
        <v>671</v>
      </c>
      <c r="D94" s="2" t="s">
        <v>672</v>
      </c>
      <c r="E94" s="2" t="b">
        <v>0</v>
      </c>
      <c r="F94" s="2" t="s">
        <v>493</v>
      </c>
    </row>
    <row r="95" spans="1:6">
      <c r="A95" s="2"/>
      <c r="B95" s="2">
        <v>93</v>
      </c>
      <c r="C95" s="2" t="s">
        <v>673</v>
      </c>
      <c r="D95" s="2" t="s">
        <v>674</v>
      </c>
      <c r="E95" s="2" t="b">
        <v>1</v>
      </c>
      <c r="F95" s="2" t="s">
        <v>493</v>
      </c>
    </row>
    <row r="96" spans="1:6">
      <c r="A96" s="2"/>
      <c r="B96" s="2"/>
      <c r="C96" s="2" t="s">
        <v>675</v>
      </c>
      <c r="D96" s="2"/>
      <c r="E96" s="2"/>
      <c r="F96" s="2"/>
    </row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9" customWidth="1"/>
    <col min="2" max="2" width="12" customWidth="1"/>
    <col min="3" max="3" width="42" customWidth="1"/>
    <col min="4" max="4" width="52" customWidth="1"/>
    <col min="5" max="6" width="24" customWidth="1"/>
    <col min="7" max="8" width="16" customWidth="1"/>
    <col min="9" max="9" width="45" customWidth="1"/>
  </cols>
  <sheetData>
    <row r="1" ht="15" spans="1:9">
      <c r="A1" s="1" t="s">
        <v>322</v>
      </c>
      <c r="B1" s="1" t="s">
        <v>676</v>
      </c>
      <c r="C1" s="1" t="s">
        <v>677</v>
      </c>
      <c r="D1" s="1" t="s">
        <v>678</v>
      </c>
      <c r="E1" s="1" t="s">
        <v>39</v>
      </c>
      <c r="F1" s="1" t="s">
        <v>679</v>
      </c>
      <c r="G1" s="1" t="s">
        <v>40</v>
      </c>
      <c r="H1" s="1" t="s">
        <v>680</v>
      </c>
      <c r="I1" s="1" t="s">
        <v>681</v>
      </c>
    </row>
    <row r="2" spans="1:9">
      <c r="A2" s="2" t="s">
        <v>682</v>
      </c>
      <c r="B2" s="2" t="s">
        <v>407</v>
      </c>
      <c r="C2" s="2" t="s">
        <v>683</v>
      </c>
      <c r="D2" s="2" t="s">
        <v>684</v>
      </c>
      <c r="E2" s="3" t="s">
        <v>685</v>
      </c>
      <c r="F2" s="3" t="s">
        <v>686</v>
      </c>
      <c r="G2" s="3" t="s">
        <v>62</v>
      </c>
      <c r="H2" s="3" t="s">
        <v>60</v>
      </c>
      <c r="I2" s="3" t="s">
        <v>60</v>
      </c>
    </row>
    <row r="3" spans="1:9">
      <c r="A3" s="2" t="s">
        <v>687</v>
      </c>
      <c r="B3" s="2" t="s">
        <v>688</v>
      </c>
      <c r="C3" s="2" t="s">
        <v>689</v>
      </c>
      <c r="D3" s="2" t="s">
        <v>690</v>
      </c>
      <c r="E3" s="3" t="s">
        <v>691</v>
      </c>
      <c r="F3" s="3" t="s">
        <v>685</v>
      </c>
      <c r="G3" s="3" t="s">
        <v>692</v>
      </c>
      <c r="H3" s="3" t="s">
        <v>60</v>
      </c>
      <c r="I3" s="3" t="s">
        <v>60</v>
      </c>
    </row>
    <row r="4" spans="1:9">
      <c r="A4" s="2" t="s">
        <v>693</v>
      </c>
      <c r="B4" s="2" t="s">
        <v>688</v>
      </c>
      <c r="C4" s="2" t="s">
        <v>694</v>
      </c>
      <c r="D4" s="2" t="s">
        <v>695</v>
      </c>
      <c r="E4" s="3" t="s">
        <v>691</v>
      </c>
      <c r="F4" s="3" t="s">
        <v>685</v>
      </c>
      <c r="G4" s="3" t="s">
        <v>692</v>
      </c>
      <c r="H4" s="3" t="s">
        <v>60</v>
      </c>
      <c r="I4" s="3" t="s">
        <v>60</v>
      </c>
    </row>
    <row r="5" spans="1:9">
      <c r="A5" s="2" t="s">
        <v>696</v>
      </c>
      <c r="B5" s="2" t="s">
        <v>697</v>
      </c>
      <c r="C5" s="2" t="s">
        <v>698</v>
      </c>
      <c r="D5" s="2" t="s">
        <v>699</v>
      </c>
      <c r="E5" s="3" t="s">
        <v>700</v>
      </c>
      <c r="F5" s="3" t="s">
        <v>685</v>
      </c>
      <c r="G5" s="3" t="s">
        <v>62</v>
      </c>
      <c r="H5" s="3" t="s">
        <v>60</v>
      </c>
      <c r="I5" s="3" t="s">
        <v>60</v>
      </c>
    </row>
    <row r="6" spans="1:9">
      <c r="A6" s="2" t="s">
        <v>701</v>
      </c>
      <c r="B6" s="2" t="s">
        <v>702</v>
      </c>
      <c r="C6" s="2" t="s">
        <v>703</v>
      </c>
      <c r="D6" s="2" t="s">
        <v>704</v>
      </c>
      <c r="E6" s="3" t="s">
        <v>700</v>
      </c>
      <c r="F6" s="3" t="s">
        <v>685</v>
      </c>
      <c r="G6" s="3" t="s">
        <v>62</v>
      </c>
      <c r="H6" s="3" t="s">
        <v>60</v>
      </c>
      <c r="I6" s="3" t="s">
        <v>60</v>
      </c>
    </row>
    <row r="7" spans="1:9">
      <c r="A7" s="2" t="s">
        <v>705</v>
      </c>
      <c r="B7" s="2" t="s">
        <v>706</v>
      </c>
      <c r="C7" s="2" t="s">
        <v>707</v>
      </c>
      <c r="D7" s="2" t="s">
        <v>708</v>
      </c>
      <c r="E7" s="3" t="s">
        <v>691</v>
      </c>
      <c r="F7" s="3" t="s">
        <v>685</v>
      </c>
      <c r="G7" s="3" t="s">
        <v>62</v>
      </c>
      <c r="H7" s="3" t="s">
        <v>60</v>
      </c>
      <c r="I7" s="3" t="s">
        <v>60</v>
      </c>
    </row>
    <row r="8" spans="1:9">
      <c r="A8" s="2" t="s">
        <v>709</v>
      </c>
      <c r="B8" s="2" t="s">
        <v>710</v>
      </c>
      <c r="C8" s="2" t="s">
        <v>711</v>
      </c>
      <c r="D8" s="2" t="s">
        <v>712</v>
      </c>
      <c r="E8" s="3" t="s">
        <v>713</v>
      </c>
      <c r="F8" s="3" t="s">
        <v>685</v>
      </c>
      <c r="G8" s="3" t="s">
        <v>62</v>
      </c>
      <c r="H8" s="3" t="s">
        <v>60</v>
      </c>
      <c r="I8" s="3" t="s">
        <v>60</v>
      </c>
    </row>
    <row r="9" spans="1:9">
      <c r="A9" s="2" t="s">
        <v>714</v>
      </c>
      <c r="B9" s="2" t="s">
        <v>710</v>
      </c>
      <c r="C9" s="2" t="s">
        <v>715</v>
      </c>
      <c r="D9" s="2" t="s">
        <v>716</v>
      </c>
      <c r="E9" s="3" t="s">
        <v>158</v>
      </c>
      <c r="F9" s="3" t="s">
        <v>717</v>
      </c>
      <c r="G9" s="3" t="s">
        <v>62</v>
      </c>
      <c r="H9" s="3" t="s">
        <v>60</v>
      </c>
      <c r="I9" s="3" t="s">
        <v>60</v>
      </c>
    </row>
    <row r="10" spans="1:9">
      <c r="A10" s="2" t="s">
        <v>718</v>
      </c>
      <c r="B10" s="2" t="s">
        <v>441</v>
      </c>
      <c r="C10" s="2" t="s">
        <v>719</v>
      </c>
      <c r="D10" s="2" t="s">
        <v>720</v>
      </c>
      <c r="E10" s="3" t="s">
        <v>61</v>
      </c>
      <c r="F10" s="3" t="s">
        <v>721</v>
      </c>
      <c r="G10" s="3" t="s">
        <v>62</v>
      </c>
      <c r="H10" s="3" t="s">
        <v>60</v>
      </c>
      <c r="I10" s="3" t="s">
        <v>60</v>
      </c>
    </row>
    <row r="11" spans="1:9">
      <c r="A11" s="2" t="s">
        <v>722</v>
      </c>
      <c r="B11" s="2" t="s">
        <v>723</v>
      </c>
      <c r="C11" s="2" t="s">
        <v>724</v>
      </c>
      <c r="D11" s="2" t="s">
        <v>725</v>
      </c>
      <c r="E11" s="3" t="s">
        <v>61</v>
      </c>
      <c r="F11" s="3" t="s">
        <v>685</v>
      </c>
      <c r="G11" s="3" t="s">
        <v>62</v>
      </c>
      <c r="H11" s="3" t="s">
        <v>60</v>
      </c>
      <c r="I11" s="3" t="s">
        <v>60</v>
      </c>
    </row>
  </sheetData>
  <autoFilter xmlns:etc="http://www.wps.cn/officeDocument/2017/etCustomData" ref="A1:I11" etc:filterBottomFollowUsedRange="0">
    <extLst/>
  </autoFilter>
  <dataValidations count="1">
    <dataValidation type="list" sqref="G2:G11">
      <formula1>"未开始,合同阻断,环境阻断,进行中,待验收,已通过,暂缓"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10" customWidth="1"/>
    <col min="2" max="2" width="16" customWidth="1"/>
    <col min="3" max="3" width="34" customWidth="1"/>
    <col min="4" max="4" width="55" customWidth="1"/>
    <col min="5" max="5" width="45" customWidth="1"/>
    <col min="6" max="6" width="24" customWidth="1"/>
    <col min="7" max="7" width="14" customWidth="1"/>
    <col min="8" max="8" width="40" customWidth="1"/>
  </cols>
  <sheetData>
    <row r="1" ht="15" spans="1:8">
      <c r="A1" s="1" t="s">
        <v>726</v>
      </c>
      <c r="B1" s="1" t="s">
        <v>727</v>
      </c>
      <c r="C1" s="1" t="s">
        <v>728</v>
      </c>
      <c r="D1" s="1" t="s">
        <v>729</v>
      </c>
      <c r="E1" s="1" t="s">
        <v>730</v>
      </c>
      <c r="F1" s="1" t="s">
        <v>327</v>
      </c>
      <c r="G1" s="1" t="s">
        <v>731</v>
      </c>
      <c r="H1" s="1" t="s">
        <v>611</v>
      </c>
    </row>
    <row r="2" spans="1:8">
      <c r="A2" s="2" t="s">
        <v>732</v>
      </c>
      <c r="B2" s="2" t="s">
        <v>43</v>
      </c>
      <c r="C2" s="2" t="s">
        <v>733</v>
      </c>
      <c r="D2" s="2" t="s">
        <v>734</v>
      </c>
      <c r="E2" s="3" t="s">
        <v>735</v>
      </c>
      <c r="F2" s="3" t="s">
        <v>691</v>
      </c>
      <c r="G2" s="3" t="s">
        <v>736</v>
      </c>
      <c r="H2" s="3" t="s">
        <v>60</v>
      </c>
    </row>
    <row r="3" spans="1:8">
      <c r="A3" s="2" t="s">
        <v>732</v>
      </c>
      <c r="B3" s="2" t="s">
        <v>43</v>
      </c>
      <c r="C3" s="2" t="s">
        <v>737</v>
      </c>
      <c r="D3" s="2" t="s">
        <v>738</v>
      </c>
      <c r="E3" s="3" t="s">
        <v>735</v>
      </c>
      <c r="F3" s="3" t="s">
        <v>700</v>
      </c>
      <c r="G3" s="3" t="s">
        <v>736</v>
      </c>
      <c r="H3" s="3" t="s">
        <v>60</v>
      </c>
    </row>
    <row r="4" spans="1:8">
      <c r="A4" s="2" t="s">
        <v>732</v>
      </c>
      <c r="B4" s="2" t="s">
        <v>43</v>
      </c>
      <c r="C4" s="2" t="s">
        <v>739</v>
      </c>
      <c r="D4" s="2" t="s">
        <v>740</v>
      </c>
      <c r="E4" s="3" t="s">
        <v>735</v>
      </c>
      <c r="F4" s="3" t="s">
        <v>685</v>
      </c>
      <c r="G4" s="3" t="s">
        <v>736</v>
      </c>
      <c r="H4" s="3" t="s">
        <v>60</v>
      </c>
    </row>
    <row r="5" spans="1:8">
      <c r="A5" s="2" t="s">
        <v>732</v>
      </c>
      <c r="B5" s="2" t="s">
        <v>741</v>
      </c>
      <c r="C5" s="2" t="s">
        <v>742</v>
      </c>
      <c r="D5" s="2" t="s">
        <v>743</v>
      </c>
      <c r="E5" s="3" t="s">
        <v>735</v>
      </c>
      <c r="F5" s="3" t="s">
        <v>691</v>
      </c>
      <c r="G5" s="3" t="s">
        <v>736</v>
      </c>
      <c r="H5" s="3" t="s">
        <v>60</v>
      </c>
    </row>
    <row r="6" spans="1:8">
      <c r="A6" s="2" t="s">
        <v>732</v>
      </c>
      <c r="B6" s="2" t="s">
        <v>741</v>
      </c>
      <c r="C6" s="2" t="s">
        <v>744</v>
      </c>
      <c r="D6" s="2" t="s">
        <v>745</v>
      </c>
      <c r="E6" s="3" t="s">
        <v>735</v>
      </c>
      <c r="F6" s="3" t="s">
        <v>691</v>
      </c>
      <c r="G6" s="3" t="s">
        <v>736</v>
      </c>
      <c r="H6" s="3" t="s">
        <v>60</v>
      </c>
    </row>
    <row r="7" spans="1:8">
      <c r="A7" s="2" t="s">
        <v>746</v>
      </c>
      <c r="B7" s="2" t="s">
        <v>43</v>
      </c>
      <c r="C7" s="2" t="s">
        <v>747</v>
      </c>
      <c r="D7" s="2" t="s">
        <v>748</v>
      </c>
      <c r="E7" s="3" t="s">
        <v>735</v>
      </c>
      <c r="F7" s="3" t="s">
        <v>691</v>
      </c>
      <c r="G7" s="3" t="s">
        <v>736</v>
      </c>
      <c r="H7" s="3" t="s">
        <v>60</v>
      </c>
    </row>
    <row r="8" spans="1:8">
      <c r="A8" s="2" t="s">
        <v>746</v>
      </c>
      <c r="B8" s="2" t="s">
        <v>741</v>
      </c>
      <c r="C8" s="2" t="s">
        <v>749</v>
      </c>
      <c r="D8" s="2" t="s">
        <v>750</v>
      </c>
      <c r="E8" s="3" t="s">
        <v>735</v>
      </c>
      <c r="F8" s="3" t="s">
        <v>691</v>
      </c>
      <c r="G8" s="3" t="s">
        <v>736</v>
      </c>
      <c r="H8" s="3" t="s">
        <v>60</v>
      </c>
    </row>
    <row r="9" spans="1:8">
      <c r="A9" s="2" t="s">
        <v>751</v>
      </c>
      <c r="B9" s="2" t="s">
        <v>752</v>
      </c>
      <c r="C9" s="2" t="s">
        <v>753</v>
      </c>
      <c r="D9" s="2" t="s">
        <v>754</v>
      </c>
      <c r="E9" s="3" t="s">
        <v>755</v>
      </c>
      <c r="F9" s="3" t="s">
        <v>756</v>
      </c>
      <c r="G9" s="3" t="s">
        <v>736</v>
      </c>
      <c r="H9" s="3" t="s">
        <v>60</v>
      </c>
    </row>
    <row r="10" spans="1:8">
      <c r="A10" s="2" t="s">
        <v>751</v>
      </c>
      <c r="B10" s="2" t="s">
        <v>752</v>
      </c>
      <c r="C10" s="2" t="s">
        <v>757</v>
      </c>
      <c r="D10" s="2" t="s">
        <v>758</v>
      </c>
      <c r="E10" s="3" t="s">
        <v>735</v>
      </c>
      <c r="F10" s="3" t="s">
        <v>61</v>
      </c>
      <c r="G10" s="3" t="s">
        <v>736</v>
      </c>
      <c r="H10" s="3" t="s">
        <v>60</v>
      </c>
    </row>
  </sheetData>
  <autoFilter xmlns:etc="http://www.wps.cn/officeDocument/2017/etCustomData" ref="A1:H10" etc:filterBottomFollowUsedRange="0">
    <extLst/>
  </autoFilter>
  <dataValidations count="1">
    <dataValidation type="list" sqref="G2:G10">
      <formula1>"未确认,已申请,已提供,已验证,已过期,不适用"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6" outlineLevelCol="7"/>
  <cols>
    <col min="1" max="1" width="12" customWidth="1"/>
    <col min="2" max="2" width="28" customWidth="1"/>
    <col min="3" max="3" width="30" customWidth="1"/>
    <col min="4" max="4" width="26" customWidth="1"/>
    <col min="5" max="5" width="24" customWidth="1"/>
    <col min="6" max="7" width="16" customWidth="1"/>
    <col min="8" max="8" width="52" customWidth="1"/>
  </cols>
  <sheetData>
    <row r="1" spans="1:8">
      <c r="A1" s="1" t="s">
        <v>759</v>
      </c>
      <c r="B1" s="1" t="s">
        <v>760</v>
      </c>
      <c r="C1" s="1" t="s">
        <v>39</v>
      </c>
      <c r="D1" s="1" t="s">
        <v>679</v>
      </c>
      <c r="E1" s="1" t="s">
        <v>761</v>
      </c>
      <c r="F1" s="1" t="s">
        <v>40</v>
      </c>
      <c r="G1" s="1" t="s">
        <v>762</v>
      </c>
      <c r="H1" s="1" t="s">
        <v>763</v>
      </c>
    </row>
    <row r="2" spans="1:8">
      <c r="A2" s="2" t="s">
        <v>764</v>
      </c>
      <c r="B2" s="2" t="s">
        <v>765</v>
      </c>
      <c r="C2" s="3" t="s">
        <v>685</v>
      </c>
      <c r="D2" s="3" t="s">
        <v>686</v>
      </c>
      <c r="E2" s="2" t="s">
        <v>682</v>
      </c>
      <c r="F2" s="3" t="s">
        <v>62</v>
      </c>
      <c r="G2" s="3" t="s">
        <v>60</v>
      </c>
      <c r="H2" s="3" t="s">
        <v>766</v>
      </c>
    </row>
    <row r="3" spans="1:8">
      <c r="A3" s="2" t="s">
        <v>767</v>
      </c>
      <c r="B3" s="2" t="s">
        <v>768</v>
      </c>
      <c r="C3" s="3" t="s">
        <v>769</v>
      </c>
      <c r="D3" s="3" t="s">
        <v>685</v>
      </c>
      <c r="E3" s="2" t="s">
        <v>770</v>
      </c>
      <c r="F3" s="3" t="s">
        <v>692</v>
      </c>
      <c r="G3" s="3" t="s">
        <v>60</v>
      </c>
      <c r="H3" s="3" t="s">
        <v>771</v>
      </c>
    </row>
    <row r="4" spans="1:8">
      <c r="A4" s="2" t="s">
        <v>772</v>
      </c>
      <c r="B4" s="2" t="s">
        <v>773</v>
      </c>
      <c r="C4" s="3" t="s">
        <v>774</v>
      </c>
      <c r="D4" s="3" t="s">
        <v>686</v>
      </c>
      <c r="E4" s="2" t="s">
        <v>775</v>
      </c>
      <c r="F4" s="3" t="s">
        <v>62</v>
      </c>
      <c r="G4" s="3" t="s">
        <v>60</v>
      </c>
      <c r="H4" s="3" t="s">
        <v>776</v>
      </c>
    </row>
    <row r="5" spans="1:8">
      <c r="A5" s="2" t="s">
        <v>777</v>
      </c>
      <c r="B5" s="2" t="s">
        <v>778</v>
      </c>
      <c r="C5" s="3" t="s">
        <v>779</v>
      </c>
      <c r="D5" s="3" t="s">
        <v>685</v>
      </c>
      <c r="E5" s="2" t="s">
        <v>780</v>
      </c>
      <c r="F5" s="3" t="s">
        <v>62</v>
      </c>
      <c r="G5" s="3" t="s">
        <v>60</v>
      </c>
      <c r="H5" s="3" t="s">
        <v>781</v>
      </c>
    </row>
    <row r="6" spans="1:8">
      <c r="A6" s="2" t="s">
        <v>782</v>
      </c>
      <c r="B6" s="2" t="s">
        <v>783</v>
      </c>
      <c r="C6" s="3" t="s">
        <v>779</v>
      </c>
      <c r="D6" s="3" t="s">
        <v>784</v>
      </c>
      <c r="E6" s="2" t="s">
        <v>777</v>
      </c>
      <c r="F6" s="3" t="s">
        <v>62</v>
      </c>
      <c r="G6" s="3" t="s">
        <v>60</v>
      </c>
      <c r="H6" s="3" t="s">
        <v>785</v>
      </c>
    </row>
    <row r="7" spans="1:8">
      <c r="A7" s="2" t="s">
        <v>786</v>
      </c>
      <c r="B7" s="2" t="s">
        <v>787</v>
      </c>
      <c r="C7" s="3" t="s">
        <v>685</v>
      </c>
      <c r="D7" s="3" t="s">
        <v>788</v>
      </c>
      <c r="E7" s="2" t="s">
        <v>789</v>
      </c>
      <c r="F7" s="3" t="s">
        <v>62</v>
      </c>
      <c r="G7" s="3" t="s">
        <v>60</v>
      </c>
      <c r="H7" s="3" t="s">
        <v>790</v>
      </c>
    </row>
  </sheetData>
  <autoFilter xmlns:etc="http://www.wps.cn/officeDocument/2017/etCustomData" ref="A1:H7" etc:filterBottomFollowUsedRange="0">
    <extLst/>
  </autoFilter>
  <dataValidations count="1">
    <dataValidation type="list" sqref="F2:F7">
      <formula1>"未开始,合同阻断,环境阻断,进行中,待验收,已通过,暂缓"</formula1>
    </dataValidation>
  </dataValidation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9" customWidth="1"/>
    <col min="2" max="2" width="12" customWidth="1"/>
    <col min="3" max="3" width="40" customWidth="1"/>
    <col min="4" max="4" width="52" customWidth="1"/>
    <col min="5" max="5" width="24" customWidth="1"/>
    <col min="6" max="6" width="14" customWidth="1"/>
    <col min="7" max="7" width="42" customWidth="1"/>
    <col min="8" max="8" width="55" customWidth="1"/>
  </cols>
  <sheetData>
    <row r="1" ht="15" spans="1:8">
      <c r="A1" s="1" t="s">
        <v>322</v>
      </c>
      <c r="B1" s="1" t="s">
        <v>676</v>
      </c>
      <c r="C1" s="1" t="s">
        <v>791</v>
      </c>
      <c r="D1" s="1" t="s">
        <v>792</v>
      </c>
      <c r="E1" s="1" t="s">
        <v>327</v>
      </c>
      <c r="F1" s="1" t="s">
        <v>731</v>
      </c>
      <c r="G1" s="1" t="s">
        <v>793</v>
      </c>
      <c r="H1" s="1" t="s">
        <v>794</v>
      </c>
    </row>
    <row r="2" spans="1:8">
      <c r="A2" s="2" t="s">
        <v>795</v>
      </c>
      <c r="B2" s="2" t="s">
        <v>407</v>
      </c>
      <c r="C2" s="2" t="s">
        <v>796</v>
      </c>
      <c r="D2" s="2" t="s">
        <v>797</v>
      </c>
      <c r="E2" s="3" t="s">
        <v>685</v>
      </c>
      <c r="F2" s="3" t="s">
        <v>798</v>
      </c>
      <c r="G2" s="3" t="s">
        <v>60</v>
      </c>
      <c r="H2" s="2" t="s">
        <v>799</v>
      </c>
    </row>
    <row r="3" spans="1:8">
      <c r="A3" s="2" t="s">
        <v>800</v>
      </c>
      <c r="B3" s="2" t="s">
        <v>710</v>
      </c>
      <c r="C3" s="2" t="s">
        <v>801</v>
      </c>
      <c r="D3" s="2" t="s">
        <v>802</v>
      </c>
      <c r="E3" s="3" t="s">
        <v>713</v>
      </c>
      <c r="F3" s="3" t="s">
        <v>798</v>
      </c>
      <c r="G3" s="3" t="s">
        <v>60</v>
      </c>
      <c r="H3" s="2" t="s">
        <v>803</v>
      </c>
    </row>
    <row r="4" spans="1:8">
      <c r="A4" s="2" t="s">
        <v>804</v>
      </c>
      <c r="B4" s="2" t="s">
        <v>805</v>
      </c>
      <c r="C4" s="2" t="s">
        <v>806</v>
      </c>
      <c r="D4" s="2" t="s">
        <v>807</v>
      </c>
      <c r="E4" s="3" t="s">
        <v>61</v>
      </c>
      <c r="F4" s="3" t="s">
        <v>798</v>
      </c>
      <c r="G4" s="3" t="s">
        <v>60</v>
      </c>
      <c r="H4" s="2" t="s">
        <v>808</v>
      </c>
    </row>
    <row r="5" spans="1:8">
      <c r="A5" s="2" t="s">
        <v>809</v>
      </c>
      <c r="B5" s="2" t="s">
        <v>810</v>
      </c>
      <c r="C5" s="2" t="s">
        <v>811</v>
      </c>
      <c r="D5" s="2" t="s">
        <v>812</v>
      </c>
      <c r="E5" s="3" t="s">
        <v>61</v>
      </c>
      <c r="F5" s="3" t="s">
        <v>798</v>
      </c>
      <c r="G5" s="3" t="s">
        <v>60</v>
      </c>
      <c r="H5" s="2" t="s">
        <v>813</v>
      </c>
    </row>
    <row r="6" spans="1:8">
      <c r="A6" s="2" t="s">
        <v>814</v>
      </c>
      <c r="B6" s="2" t="s">
        <v>702</v>
      </c>
      <c r="C6" s="2" t="s">
        <v>815</v>
      </c>
      <c r="D6" s="2" t="s">
        <v>816</v>
      </c>
      <c r="E6" s="3" t="s">
        <v>700</v>
      </c>
      <c r="F6" s="3" t="s">
        <v>798</v>
      </c>
      <c r="G6" s="3" t="s">
        <v>60</v>
      </c>
      <c r="H6" s="2" t="s">
        <v>817</v>
      </c>
    </row>
    <row r="7" spans="1:8">
      <c r="A7" s="2" t="s">
        <v>818</v>
      </c>
      <c r="B7" s="2" t="s">
        <v>819</v>
      </c>
      <c r="C7" s="2" t="s">
        <v>820</v>
      </c>
      <c r="D7" s="2" t="s">
        <v>821</v>
      </c>
      <c r="E7" s="3" t="s">
        <v>756</v>
      </c>
      <c r="F7" s="3" t="s">
        <v>798</v>
      </c>
      <c r="G7" s="3" t="s">
        <v>60</v>
      </c>
      <c r="H7" s="2" t="s">
        <v>822</v>
      </c>
    </row>
    <row r="8" spans="1:8">
      <c r="A8" s="2" t="s">
        <v>823</v>
      </c>
      <c r="B8" s="2" t="s">
        <v>824</v>
      </c>
      <c r="C8" s="2" t="s">
        <v>825</v>
      </c>
      <c r="D8" s="2" t="s">
        <v>826</v>
      </c>
      <c r="E8" s="3" t="s">
        <v>685</v>
      </c>
      <c r="F8" s="3" t="s">
        <v>798</v>
      </c>
      <c r="G8" s="3" t="s">
        <v>60</v>
      </c>
      <c r="H8" s="2" t="s">
        <v>827</v>
      </c>
    </row>
    <row r="9" spans="1:8">
      <c r="A9" s="2" t="s">
        <v>828</v>
      </c>
      <c r="B9" s="2" t="s">
        <v>829</v>
      </c>
      <c r="C9" s="2" t="s">
        <v>830</v>
      </c>
      <c r="D9" s="2" t="s">
        <v>831</v>
      </c>
      <c r="E9" s="3" t="s">
        <v>686</v>
      </c>
      <c r="F9" s="3" t="s">
        <v>798</v>
      </c>
      <c r="G9" s="3" t="s">
        <v>60</v>
      </c>
      <c r="H9" s="2" t="s">
        <v>832</v>
      </c>
    </row>
  </sheetData>
  <autoFilter xmlns:etc="http://www.wps.cn/officeDocument/2017/etCustomData" ref="A1:H9" etc:filterBottomFollowUsedRange="0">
    <extLst/>
  </autoFilter>
  <dataValidations count="1">
    <dataValidation type="list" sqref="F2:F9">
      <formula1>"未检查,不通过,待复核,已通过,不适用"</formula1>
    </dataValidation>
  </dataValidation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Row="1" outlineLevelCol="5"/>
  <cols>
    <col min="1" max="1" width="12" customWidth="1"/>
    <col min="2" max="2" width="16" customWidth="1"/>
    <col min="3" max="3" width="85" customWidth="1"/>
    <col min="4" max="5" width="20" customWidth="1"/>
    <col min="6" max="6" width="16" customWidth="1"/>
  </cols>
  <sheetData>
    <row r="1" spans="1:6">
      <c r="A1" s="1" t="s">
        <v>833</v>
      </c>
      <c r="B1" s="1" t="s">
        <v>834</v>
      </c>
      <c r="C1" s="1" t="s">
        <v>835</v>
      </c>
      <c r="D1" s="1" t="s">
        <v>836</v>
      </c>
      <c r="E1" s="1" t="s">
        <v>837</v>
      </c>
      <c r="F1" s="1" t="s">
        <v>731</v>
      </c>
    </row>
    <row r="2" spans="1:6">
      <c r="A2" s="2" t="s">
        <v>838</v>
      </c>
      <c r="B2" s="2" t="s">
        <v>839</v>
      </c>
      <c r="C2" s="2" t="s">
        <v>840</v>
      </c>
      <c r="D2" s="3" t="s">
        <v>64</v>
      </c>
      <c r="E2" s="3" t="s">
        <v>64</v>
      </c>
      <c r="F2" s="3" t="s">
        <v>841</v>
      </c>
    </row>
  </sheetData>
  <autoFilter xmlns:etc="http://www.wps.cn/officeDocument/2017/etCustomData" ref="A1:F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总览</vt:lpstr>
      <vt:lpstr>接口矩阵</vt:lpstr>
      <vt:lpstr>待确认事项</vt:lpstr>
      <vt:lpstr>实施计划</vt:lpstr>
      <vt:lpstr>数据治理清单</vt:lpstr>
      <vt:lpstr>健康档案上传字段</vt:lpstr>
      <vt:lpstr>联调准备清单</vt:lpstr>
      <vt:lpstr>环境参数</vt:lpstr>
      <vt:lpstr>责任与里程碑</vt:lpstr>
      <vt:lpstr>上线检查表</vt:lpstr>
      <vt:lpstr>变更记录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leaning</cp:lastModifiedBy>
  <dcterms:created xsi:type="dcterms:W3CDTF">2026-09-10T03:59:00Z</dcterms:created>
  <dcterms:modified xsi:type="dcterms:W3CDTF">2026-09-10T04:00:35Z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48CF438EEC194CF29F989EAA5084EAEE_12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